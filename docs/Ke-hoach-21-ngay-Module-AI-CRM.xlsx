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Danh mục" sheetId="1" state="hidden" r:id="rId1"/>
    <sheet name="Trạng thái xuất phát" sheetId="2" state="visible" r:id="rId2"/>
    <sheet name="Kế hoạch 21 ngày" sheetId="3" state="visible" r:id="rId3"/>
    <sheet name="Phân vai 17 Use Case" sheetId="4" state="visible" r:id="rId4"/>
    <sheet name="Phạm vi cắt &amp; làm sau" sheetId="5" state="visible" r:id="rId5"/>
    <sheet name="Mở rộng sau đồ án" sheetId="6" state="visible" r:id="rId6"/>
    <sheet name="Bảng theo dõi" sheetId="7" state="visible" r:id="rId7"/>
    <sheet name="Chỉ số nghiệm thu" sheetId="8" state="visible" r:id="rId8"/>
    <sheet name="Hướng dẫn &amp; Ghi chú" sheetId="9" state="visible" r:id="rId9"/>
  </sheets>
  <definedNames>
    <definedName name="_xlnm.Print_Titles">'Kế hoạch 21 ngày'!$1:$1</definedName>
    <definedName name="_xlnm._FilterDatabase" localSheetId="2" hidden="1">'Kế hoạch 21 ngày'!$A$1:$I$43</definedName>
    <definedName name="_xlnm.Print_Titles" localSheetId="2">'Kế hoạch 21 ngày'!$1:$1</definedName>
    <definedName name="_xlnm._FilterDatabase" localSheetId="7" hidden="1">'Chỉ số nghiệm thu'!$A$4:$H$59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3"/>
    </font>
    <font>
      <sz val="10"/>
    </font>
    <font>
      <b val="1"/>
      <color rgb="00FFFFFF"/>
      <sz val="11"/>
    </font>
  </fonts>
  <fills count="10">
    <fill>
      <patternFill/>
    </fill>
    <fill>
      <patternFill patternType="gray125"/>
    </fill>
    <fill>
      <patternFill patternType="solid">
        <fgColor rgb="001F3864"/>
      </patternFill>
    </fill>
    <fill>
      <patternFill patternType="solid">
        <fgColor rgb="00F2F2F2"/>
      </patternFill>
    </fill>
    <fill>
      <patternFill patternType="solid">
        <fgColor rgb="002F5597"/>
      </patternFill>
    </fill>
    <fill>
      <patternFill patternType="solid">
        <fgColor rgb="00E2EFDA"/>
      </patternFill>
    </fill>
    <fill>
      <patternFill patternType="solid">
        <fgColor rgb="00FFF2CC"/>
      </patternFill>
    </fill>
    <fill>
      <patternFill patternType="solid">
        <fgColor rgb="00FCE4E4"/>
      </patternFill>
    </fill>
    <fill>
      <patternFill patternType="solid">
        <fgColor rgb="00DEEBF7"/>
      </patternFill>
    </fill>
    <fill>
      <patternFill patternType="solid">
        <fgColor rgb="00EDE7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0" applyAlignment="1" pivotButton="0" quotePrefix="0" xfId="0">
      <alignment vertical="top" wrapText="1"/>
    </xf>
    <xf numFmtId="0" fontId="4" fillId="4" borderId="1" applyAlignment="1" pivotButton="0" quotePrefix="0" xfId="0">
      <alignment horizontal="center" vertical="center" wrapText="1"/>
    </xf>
    <xf numFmtId="0" fontId="1" fillId="5" borderId="1" applyAlignment="1" pivotButton="0" quotePrefix="0" xfId="0">
      <alignment vertical="top" wrapText="1"/>
    </xf>
    <xf numFmtId="0" fontId="0" fillId="5" borderId="1" applyAlignment="1" pivotButton="0" quotePrefix="0" xfId="0">
      <alignment vertical="top" wrapText="1"/>
    </xf>
    <xf numFmtId="0" fontId="1" fillId="6" borderId="1" applyAlignment="1" pivotButton="0" quotePrefix="0" xfId="0">
      <alignment vertical="top" wrapText="1"/>
    </xf>
    <xf numFmtId="0" fontId="0" fillId="6" borderId="1" applyAlignment="1" pivotButton="0" quotePrefix="0" xfId="0">
      <alignment vertical="top" wrapText="1"/>
    </xf>
    <xf numFmtId="0" fontId="1" fillId="7"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horizontal="center" vertical="center" wrapText="1"/>
    </xf>
    <xf numFmtId="0" fontId="1" fillId="8" borderId="1" applyAlignment="1" pivotButton="0" quotePrefix="0" xfId="0">
      <alignment vertical="top" wrapText="1"/>
    </xf>
    <xf numFmtId="0" fontId="0" fillId="8" borderId="1" applyAlignment="1" pivotButton="0" quotePrefix="0" xfId="0">
      <alignment vertical="top" wrapText="1"/>
    </xf>
    <xf numFmtId="0" fontId="0" fillId="6" borderId="1" applyAlignment="1" pivotButton="0" quotePrefix="0" xfId="0">
      <alignment horizontal="center" vertical="center" wrapText="1"/>
    </xf>
    <xf numFmtId="0" fontId="0" fillId="5"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0" borderId="0" applyAlignment="1" pivotButton="0" quotePrefix="0" xfId="0">
      <alignment horizontal="center" vertical="center" wrapText="1"/>
    </xf>
    <xf numFmtId="0" fontId="1" fillId="3" borderId="1" applyAlignment="1" pivotButton="0" quotePrefix="0" xfId="0">
      <alignment vertical="top" wrapText="1"/>
    </xf>
    <xf numFmtId="0" fontId="0" fillId="3" borderId="1" applyAlignment="1" pivotButton="0" quotePrefix="0" xfId="0">
      <alignment vertical="top" wrapText="1"/>
    </xf>
    <xf numFmtId="0" fontId="0" fillId="3" borderId="1" applyAlignment="1" pivotButton="0" quotePrefix="0" xfId="0">
      <alignment horizontal="center" vertical="center" wrapText="1"/>
    </xf>
    <xf numFmtId="0" fontId="1" fillId="9" borderId="1" applyAlignment="1" pivotButton="0" quotePrefix="0" xfId="0">
      <alignment vertical="top" wrapText="1"/>
    </xf>
    <xf numFmtId="0" fontId="0" fillId="9" borderId="1" applyAlignment="1" pivotButton="0" quotePrefix="0" xfId="0">
      <alignment vertical="top" wrapText="1"/>
    </xf>
    <xf numFmtId="0" fontId="0" fillId="9" borderId="1" applyAlignment="1" pivotButton="0" quotePrefix="0" xfId="0">
      <alignment horizontal="center" vertical="center" wrapText="1"/>
    </xf>
    <xf numFmtId="9" fontId="0" fillId="8" borderId="1" applyAlignment="1" pivotButton="0" quotePrefix="0" xfId="0">
      <alignment horizontal="center" vertical="center" wrapText="1"/>
    </xf>
    <xf numFmtId="9" fontId="0" fillId="5" borderId="1" applyAlignment="1" pivotButton="0" quotePrefix="0" xfId="0">
      <alignment horizontal="center" vertical="center" wrapText="1"/>
    </xf>
    <xf numFmtId="9" fontId="0" fillId="6" borderId="1" applyAlignment="1" pivotButton="0" quotePrefix="0" xfId="0">
      <alignment horizontal="center" vertical="center" wrapText="1"/>
    </xf>
    <xf numFmtId="0" fontId="4" fillId="4" borderId="1" applyAlignment="1" pivotButton="0" quotePrefix="0" xfId="0">
      <alignment vertical="top" wrapText="1"/>
    </xf>
    <xf numFmtId="9" fontId="4" fillId="4"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0" borderId="0" applyAlignment="1" pivotButton="0" quotePrefix="0" xfId="0">
      <alignment horizontal="center" vertical="center" wrapText="1"/>
    </xf>
    <xf numFmtId="0" fontId="4" fillId="4" borderId="0" applyAlignment="1" pivotButton="0" quotePrefix="0" xfId="0">
      <alignment vertical="center" wrapText="1"/>
    </xf>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Tiến độ</t>
        </is>
      </c>
      <c r="C1" s="1" t="inlineStr">
        <is>
          <t>Người</t>
        </is>
      </c>
    </row>
    <row r="2">
      <c r="A2" t="inlineStr">
        <is>
          <t>Chưa bắt đầu</t>
        </is>
      </c>
      <c r="C2" t="inlineStr">
        <is>
          <t>Dev A</t>
        </is>
      </c>
    </row>
    <row r="3">
      <c r="A3" t="inlineStr">
        <is>
          <t>Đang làm</t>
        </is>
      </c>
      <c r="C3" t="inlineStr">
        <is>
          <t>Dev B</t>
        </is>
      </c>
    </row>
    <row r="4">
      <c r="A4" t="inlineStr">
        <is>
          <t>Hoàn thành</t>
        </is>
      </c>
    </row>
    <row r="5">
      <c r="A5" t="inlineStr">
        <is>
          <t>Trễ hạn</t>
        </is>
      </c>
    </row>
    <row r="6">
      <c r="A6" t="inlineStr">
        <is>
          <t>Đã hủy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70" customWidth="1" min="3" max="3"/>
    <col width="62" customWidth="1" min="4" max="4"/>
  </cols>
  <sheetData>
    <row r="1" ht="26" customHeight="1">
      <c r="A1" s="2" t="inlineStr">
        <is>
          <t>TRẠNG THÁI REPO NGÀY 20/09/2026 — ĐIỂM XUẤT PHÁT THẬT CỦA 21 NGÀY</t>
        </is>
      </c>
    </row>
    <row r="2" ht="48" customHeight="1">
      <c r="A2" s="3" t="inlineStr">
        <is>
          <t>Kiểm kê bằng script trên chính repo, không chép từ tài liệu. Đọc sheet này TRƯỚC khi đọc lịch: nhiều việc mà bản kế hoạch cũ ghi là 'phải làm' thì thực ra đã xong, và ngược lại có những thứ tưởng đã có thì đang là khung rỗng. Cột 'Hệ quả lên lịch' trỏ về đúng ngày phải xử lý.</t>
        </is>
      </c>
    </row>
    <row r="4" ht="30" customHeight="1">
      <c r="A4" s="4" t="inlineStr">
        <is>
          <t>Hạng mục</t>
        </is>
      </c>
      <c r="B4" s="4" t="inlineStr">
        <is>
          <t>Trạng thái</t>
        </is>
      </c>
      <c r="C4" s="4" t="inlineStr">
        <is>
          <t>Bằng chứng trong repo</t>
        </is>
      </c>
      <c r="D4" s="4" t="inlineStr">
        <is>
          <t>Hệ quả lên lịch 21 ngày</t>
        </is>
      </c>
    </row>
    <row r="5" ht="58" customHeight="1">
      <c r="A5" s="5" t="inlineStr">
        <is>
          <t>Migration Track B</t>
        </is>
      </c>
      <c r="B5" s="6" t="inlineStr">
        <is>
          <t>✅ ĐÃ CÓ THẬT</t>
        </is>
      </c>
      <c r="C5" s="6" t="inlineStr">
        <is>
          <t>9 file Flyway V201–V209, 654 dòng, dải V2xx. Schema knowledge / ai / integration. 6 bảng: knowledge_documents, knowledge_chunks, ai_interactions, ai_feedback, ai_tool_calls, mcp_servers.</t>
        </is>
      </c>
      <c r="D5" s="6" t="inlineStr">
        <is>
          <t>Ngày 1 CHẠY migration chứ không THIẾT KẾ migration. Migration mới bắt đầu từ V210, không sửa V201–V209.</t>
        </is>
      </c>
    </row>
    <row r="6" ht="58" customHeight="1">
      <c r="A6" s="5" t="inlineStr">
        <is>
          <t>Cô lập tenant ở tầng CSDL</t>
        </is>
      </c>
      <c r="B6" s="6" t="inlineStr">
        <is>
          <t>✅ ĐÃ CÓ THẬT</t>
        </is>
      </c>
      <c r="C6" s="6" t="inlineStr">
        <is>
          <t>V207 ENABLE + FORCE ROW LEVEL SECURITY trên cả 6 bảng, policy tenant_isolation dùng USING + WITH CHECK qua hàm ai.current_tenant(). V206 GRANT cho role ai_app, không GRANT gì trên schema Track A.</t>
        </is>
      </c>
      <c r="D6" s="6" t="inlineStr">
        <is>
          <t>Ngày 1 chỉ cần viết TEST chứng minh nó hoạt động — hiện chưa có test nào.</t>
        </is>
      </c>
    </row>
    <row r="7" ht="58" customHeight="1">
      <c r="A7" s="5" t="inlineStr">
        <is>
          <t>Số chiều vector</t>
        </is>
      </c>
      <c r="B7" s="6" t="inlineStr">
        <is>
          <t>✅ ĐÃ CHỐT</t>
        </is>
      </c>
      <c r="C7" s="6" t="inlineStr">
        <is>
          <t>V203 dòng 17: embedding vector(1024). ADR-0015 mục 5 chốt 1024, KHÔNG phải 768 như Master Plan §4.2.</t>
        </is>
      </c>
      <c r="D7" s="6" t="inlineStr">
        <is>
          <t>Ngày 2 phải chọn encoder cho ra đúng 1024 chiều. Đây là ràng buộc cứng, không phải lựa chọn.</t>
        </is>
      </c>
    </row>
    <row r="8" ht="58" customHeight="1">
      <c r="A8" s="5" t="inlineStr">
        <is>
          <t>Chỉ mục truy hồi</t>
        </is>
      </c>
      <c r="B8" s="6" t="inlineStr">
        <is>
          <t>✅ ĐÃ CÓ THẬT</t>
        </is>
      </c>
      <c r="C8" s="6" t="inlineStr">
        <is>
          <t>V203 có ix_chunk_fts (GIN trên content_segmented). ai-service/scripts/create_hnsw_index.sql có HNSW vector_cosine_ops m=16 ef_construction=64 CONCURRENTLY — chạy TAY sau khi nạp dữ liệu.</t>
        </is>
      </c>
      <c r="D8" s="6" t="inlineStr">
        <is>
          <t>Hai làn của hybrid search đã sẵn ở tầng CSDL. Ngày 6 chỉ cần viết câu SQL gộp. HNSW chạy lần đầu ở Ngày 5.</t>
        </is>
      </c>
    </row>
    <row r="9" ht="58" customHeight="1">
      <c r="A9" s="5" t="inlineStr">
        <is>
          <t>CI + cổng chặn ML runtime</t>
        </is>
      </c>
      <c r="B9" s="6" t="inlineStr">
        <is>
          <t>✅ ĐÃ CÓ THẬT</t>
        </is>
      </c>
      <c r="C9" s="6" t="inlineStr">
        <is>
          <t>.github/workflows/ci.yml đang chạy: compileall, kiểm chiều phụ thuộc bằng grep neo đầu dòng, ruff, docker build, cổng 3 gói onnxruntime|torch|xgboost → exit 1, chặn import sklearn trong src/. Job inference có cổng ngược: không được có torch|sentence-transformers|flagembedding.</t>
        </is>
      </c>
      <c r="D9" s="6" t="inlineStr">
        <is>
          <t>Ngày 1 KHÔNG viết CI từ đầu. Việc còn lại: bật exit 1 cho cổng dung lượng image (hiện mới ::warning::).</t>
        </is>
      </c>
    </row>
    <row r="10" ht="58" customHeight="1">
      <c r="A10" s="5" t="inlineStr">
        <is>
          <t>Hạ tầng dev</t>
        </is>
      </c>
      <c r="B10" s="6" t="inlineStr">
        <is>
          <t>✅ ĐÃ CÓ THẬT</t>
        </is>
      </c>
      <c r="C10" s="6" t="inlineStr">
        <is>
          <t>docker-compose.yml (Postgres+pgvector, Redis, Kafka, ZooKeeper, profile observability), scripts/init-db.sql, scripts/create-topics.sh (5 topic), scripts/migrate-ai.sh.</t>
        </is>
      </c>
      <c r="D10" s="6" t="inlineStr">
        <is>
          <t>Ngày 1 chỉ chạy, không dựng. Nhớ bẫy hai listener: kafka:9092 từ trong mạng Docker, localhost:29092 từ máy chủ.</t>
        </is>
      </c>
    </row>
    <row r="11" ht="58" customHeight="1">
      <c r="A11" s="5" t="inlineStr">
        <is>
          <t>Cấu hình + log + metric + DI</t>
        </is>
      </c>
      <c r="B11" s="6" t="inlineStr">
        <is>
          <t>✅ ĐÃ CÓ THẬT</t>
        </is>
      </c>
      <c r="C11" s="6" t="inlineStr">
        <is>
          <t>src/ai/config.py (embedding_dim=1024, rrf_k=60, retrieve_top_k=20, lru_cache), telemetry/logging.py (JSON log + ContextVar trace_id/tenant_id), telemetry/metrics.py (4 metric Prometheus đã khai), api/deps.py (get_tenant_id FAIL-CLOSED), schemas.py, exceptions.py, entrypoint.py (workers=1), health.py.</t>
        </is>
      </c>
      <c r="D11" s="6" t="inlineStr">
        <is>
          <t>Dùng lại ngay, đừng viết lại. 4 metric đã khai nhưng CHƯA nơi nào gọi .observe() — gắn ở Ngày 8.</t>
        </is>
      </c>
    </row>
    <row r="12" ht="58" customHeight="1">
      <c r="A12" s="5" t="inlineStr">
        <is>
          <t>Hai Dockerfile + compose suy luận</t>
        </is>
      </c>
      <c r="B12" s="6" t="inlineStr">
        <is>
          <t>✅ ĐÃ CÓ THẬT</t>
        </is>
      </c>
      <c r="C12" s="6" t="inlineStr">
        <is>
          <t>ai-service/Dockerfile (python:3.11-slim, non-root) và inference/Dockerfile. inference/compose.inference.yml định nghĩa đủ 3 service ai-embed:8081 / ai-rerank:8082 / ai-classify:8083, OMP_NUM_THREADS = cpus, requests==limits, healthcheck /ready.</t>
        </is>
      </c>
      <c r="D12" s="6" t="inlineStr">
        <is>
          <t>Ngày 2 chỉ cần viết CODE cho 3 service; hạ tầng container đã xong.</t>
        </is>
      </c>
    </row>
    <row r="13" ht="58" customHeight="1">
      <c r="A13" s="5" t="inlineStr">
        <is>
          <t>Phân tách requirements 3 tầng</t>
        </is>
      </c>
      <c r="B13" s="6" t="inlineStr">
        <is>
          <t>✅ ĐÃ CÓ THẬT</t>
        </is>
      </c>
      <c r="C13" s="6" t="inlineStr">
        <is>
          <t>ai-service/requirements/base.txt KHÔNG có onnxruntime/torch/xgboost (có langgraph, psycopg, pgvector, aiokafka, pymupdf, pyvi). inference/requirements/base.txt có onnxruntime, không torch. notebooks/requirements.txt có torch, transformers, xgboost, skl2onnx, shap — đúng nơi.</t>
        </is>
      </c>
      <c r="D13" s="6" t="inlineStr">
        <is>
          <t>Giữ nguyên ranh giới này. scikit-learn có mặt trong ai-service là phụ thuộc GIÁN TIẾP của pyvi, được ADR-0015 chấp nhận có chủ đích — nhưng cấm import sklearn trong src/.</t>
        </is>
      </c>
    </row>
    <row r="14" ht="58" customHeight="1">
      <c r="A14" s="5" t="inlineStr">
        <is>
          <t>Tài liệu quyết định</t>
        </is>
      </c>
      <c r="B14" s="6" t="inlineStr">
        <is>
          <t>✅ ĐÃ CÓ THẬT</t>
        </is>
      </c>
      <c r="C14" s="6" t="inlineStr">
        <is>
          <t>17 ADR (0001–0016 + template). ADR-0015 và ADR-0016 (19/09/2026) chốt cấu trúc src/, tách tầng suy luận, vector 1024, schema knowledge.*, cổng CI 3 gói, role ai_app, không tạo ai.lead_features. docs/contracts/README.md ghi bảng 'đã chốt' và 'còn treo'.</t>
        </is>
      </c>
      <c r="D14" s="6" t="inlineStr">
        <is>
          <t>Bảy điều đã chốt — xem sheet 'Hướng dẫn &amp; Ghi chú'. ĐỪNG MỞ LẠI.</t>
        </is>
      </c>
    </row>
    <row r="15" ht="58" customHeight="1">
      <c r="A15" s="7" t="inlineStr">
        <is>
          <t>Code AI (RAG, LangGraph, extraction, scoring)</t>
        </is>
      </c>
      <c r="B15" s="8" t="inlineStr">
        <is>
          <t>🟡 KHUNG RỖNG</t>
        </is>
      </c>
      <c r="C15" s="8" t="inlineStr">
        <is>
          <t>30/42 file .py trong ai-service/src chỉ có docstring đặc tả, 0 dòng code: src/ai/service.py (facade), rag/{ingest,retrieve,rerank,generate}, orchestrator/ (graph.py/state.py/nodes.py CHƯA TỒN TẠI), extraction/, guardrails/, inference/clients.py, db/models/, db/repositories/, events/, scoring/, clustering/. Tổng src/: 42 file, 859 dòng, chỉ 166 câu lệnh thực thi.</t>
        </is>
      </c>
      <c r="D15" s="8" t="inlineStr">
        <is>
          <t>Toàn bộ Tuần 1–2 là viết phần này. Docstring đã ghi sẵn ngưỡng nghiệm thu — đọc trước khi code.</t>
        </is>
      </c>
    </row>
    <row r="16" ht="58" customHeight="1">
      <c r="A16" s="7" t="inlineStr">
        <is>
          <t>Tầng suy luận</t>
        </is>
      </c>
      <c r="B16" s="8" t="inlineStr">
        <is>
          <t>🟡 STUB, CHẠY LÀ CRASH</t>
        </is>
      </c>
      <c r="C16" s="8" t="inlineStr">
        <is>
          <t>inference/src/entrypoint.py hiện raise NotImplementedError. session.py, bench_cpu.py, roles/embed.py, roles/rerank.py, roles/classify.py đều 0 dòng code. inference/k8s/ chỉ có .gitkeep.</t>
        </is>
      </c>
      <c r="D16" s="8" t="inlineStr">
        <is>
          <t>Ngày 2 viết embed + session, Ngày 5 viết classify, Ngày 8 rerank, Ngày 15 bench_cpu.py.</t>
        </is>
      </c>
    </row>
    <row r="17" ht="58" customHeight="1">
      <c r="A17" s="7" t="inlineStr">
        <is>
          <t>API routing</t>
        </is>
      </c>
      <c r="B17" s="8" t="inlineStr">
        <is>
          <t>🟡 KHUNG RỖNG</t>
        </is>
      </c>
      <c r="C17" s="8" t="inlineStr">
        <is>
          <t>src/api/v1/router.py có APIRouter() nhưng 0 route. src/api/main.py còn 4 TODO trong lifespan (Kafka consumer, middleware trace, exception handler, /metrics). src/api/eureka.py chỉ log 'chưa cài đặt'. src/worker/main.py raise NotImplementedError.</t>
        </is>
      </c>
      <c r="D17" s="8" t="inlineStr">
        <is>
          <t>Route đầu tiên ở Ngày 3 (UC018). Worker thật ở Ngày 5. Nhớ huỷ đăng ký Eureka lúc tắt — quên thì Eureka định tuyến tới tiến trình chết khoảng 90 giây.</t>
        </is>
      </c>
    </row>
    <row r="18" ht="58" customHeight="1">
      <c r="A18" s="7" t="inlineStr">
        <is>
          <t>Hợp đồng liên làn</t>
        </is>
      </c>
      <c r="B18" s="8" t="inlineStr">
        <is>
          <t>🟡 MỚI CÓ KHUNG</t>
        </is>
      </c>
      <c r="C18" s="8" t="inlineStr">
        <is>
          <t>docs/openapi/ai-service-to-java-core.yaml có ~22 path nhưng hầu hết chỉ summary + TODO, chưa có requestBody/responses. java-core-to-ai-service.yaml mỏng hơn. docs/events/ có 5 schema JSON.</t>
        </is>
      </c>
      <c r="D18" s="8" t="inlineStr">
        <is>
          <t>Ngày 1 Dev B điền đủ. CẢNH BÁO: tên endpoint đang LỆCH hai bộ — service.py ghi /v1/ai/chat, OpenAPI ghi /v1/answer. Phải chốt trước khi viết route đầu tiên.</t>
        </is>
      </c>
    </row>
    <row r="19" ht="58" customHeight="1">
      <c r="A19" s="9" t="inlineStr">
        <is>
          <t>Bộ vàng và tập test</t>
        </is>
      </c>
      <c r="B19" s="10" t="inlineStr">
        <is>
          <t>❌ CHƯA CÓ</t>
        </is>
      </c>
      <c r="C19" s="10" t="inlineStr">
        <is>
          <t>tests/eval/golden_set.jsonl và adversarial.jsonl TỒN TẠI nhưng 0 dòng. tests/eval/configs/ chỉ có README, 0 file .yaml. data/ chỉ có .gitkeep — data/intent_test_human.jsonl và data/golden_qa.jsonl CHƯA TỒN TẠI. artifacts/DATA_HASHES.txt CHƯA TỒN TẠI.</t>
        </is>
      </c>
      <c r="D19" s="10" t="inlineStr">
        <is>
          <t>Ngày 1 chốt chỗ đặt (hai tên đang song song). Ngày 2 gõ 200 câu test người thật. Ngày 6 bộ vàng v1 40–50 cặp. Ngày 13 mở rộng lên ≥ 80 cặp. KHÔNG có mấy tệp này thì mọi con số trong Chương 5 là ảo.</t>
        </is>
      </c>
    </row>
    <row r="20" ht="58" customHeight="1">
      <c r="A20" s="9" t="inlineStr">
        <is>
          <t>Test tự động</t>
        </is>
      </c>
      <c r="B20" s="10" t="inlineStr">
        <is>
          <t>❌ CHƯA CÓ</t>
        </is>
      </c>
      <c r="C20" s="10" t="inlineStr">
        <is>
          <t>ai-service/tests/ có 0 file test_*.py, 0 conftest.py. pytest cấu hình sẵn trong pyproject.toml nhưng thu về 0 test collected.</t>
        </is>
      </c>
      <c r="D20" s="10" t="inlineStr">
        <is>
          <t>Test đầu tiên là test_rls.py ở Ngày 1 và nó là điều kiện để đi tiếp.</t>
        </is>
      </c>
    </row>
    <row r="21" ht="58" customHeight="1">
      <c r="A21" s="9" t="inlineStr">
        <is>
          <t>Notebook và artifact model</t>
        </is>
      </c>
      <c r="B21" s="10" t="inlineStr">
        <is>
          <t>❌ CHƯA CÓ</t>
        </is>
      </c>
      <c r="C21" s="10" t="inlineStr">
        <is>
          <t>notebooks/ không có file .ipynb nào (chỉ README + requirements.txt). artifacts/MODEL_REGISTRY.md tồn tại nhưng cả 5 dòng đăng ký đều '(chưa có)'.</t>
        </is>
      </c>
      <c r="D21" s="10" t="inlineStr">
        <is>
          <t>Notebook đầu tiên ở Ngày 3 (dữ liệu router), artifact đầu tiên ở Ngày 2 (encoder ONNX INT8).</t>
        </is>
      </c>
    </row>
    <row r="22" ht="58" customHeight="1">
      <c r="A22" s="7" t="inlineStr">
        <is>
          <t>Dung lượng image ai-service</t>
        </is>
      </c>
      <c r="B22" s="8" t="inlineStr">
        <is>
          <t>⚠️ NỢ KỸ THUẬT</t>
        </is>
      </c>
      <c r="C22" s="8" t="inlineStr">
        <is>
          <t>Đo thật 776 MB, ngưỡng &lt; 400 MB (ADR-0015 mục 6). Bóc tách: scipy+numpy+sklearn 252 MB (gián tiếp của pyvi), pymupdf 63 MB, babel+zstandard 55 MB (gián tiếp của trafilatura).</t>
        </is>
      </c>
      <c r="D22" s="8" t="inlineStr">
        <is>
          <t>Ngày 1 bật exit 1 cho cổng, Ngày 16 Dev A giảm xuống dưới ngưỡng. Không ai nhận việc này thì nó trôi tới ngày nghiệm thu và thành một ô đỏ trong bảng 7 chỉ số.</t>
        </is>
      </c>
    </row>
    <row r="23" ht="58" customHeight="1">
      <c r="A23" s="7" t="inlineStr">
        <is>
          <t>Bộ tên topic Kafka</t>
        </is>
      </c>
      <c r="B23" s="8" t="inlineStr">
        <is>
          <t>⚠️ CÒN TREO</t>
        </is>
      </c>
      <c r="C23" s="8" t="inlineStr">
        <is>
          <t>Repo có 5 topic crm.*.v1 (create-topics.sh + docs/events/). Master Plan §2.6 khai 8 topic. crm.deal.closed — cần cho vòng phản hồi outcome của UC030 — KHÔNG có trong cả hai bộ.</t>
        </is>
      </c>
      <c r="D23" s="8" t="inlineStr">
        <is>
          <t>Chốt Ngày 1, không hoãn thêm: consumer đầu tiên viết ở Ngày 5, vòng phản hồi outcome ở Ngày 18.</t>
        </is>
      </c>
    </row>
    <row r="24" ht="58" customHeight="1">
      <c r="A24" s="7" t="inlineStr">
        <is>
          <t>Ngưỡng recall@5</t>
        </is>
      </c>
      <c r="B24" s="8" t="inlineStr">
        <is>
          <t>⚠️ HAI TÀI LIỆU LỆCH</t>
        </is>
      </c>
      <c r="C24" s="8" t="inlineStr">
        <is>
          <t>Master Plan §1.6 ghi ≥ 0,85. .claude/rules/rag-eval.md ghi ≥ 0,80. Chưa ADR nào chốt.</t>
        </is>
      </c>
      <c r="D24" s="8" t="inlineStr">
        <is>
          <t>Kế hoạch này chốt theo §1.6 là ≥ 0,85 (ngưỡng cao hơn, an toàn hơn khi bảo vệ). Ghi vào ADR phạm vi.</t>
        </is>
      </c>
    </row>
    <row r="25" ht="58" customHeight="1">
      <c r="A25" s="7" t="inlineStr">
        <is>
          <t>Phụ thuộc vào Track A</t>
        </is>
      </c>
      <c r="B25" s="8" t="inlineStr">
        <is>
          <t>⚠️ CHƯA XONG</t>
        </is>
      </c>
      <c r="C25" s="8" t="inlineStr">
        <is>
          <t>docs/contracts/de-xuat-track-a-lead-scores-outcome.md (3 cột rule_score/outcome/outcome_at) soạn 19/09 nhưng CHƯA GỬI. Bảng engagement.handoff_events chưa tồn tại. Consumer analytics-cg chưa có.</t>
        </is>
      </c>
      <c r="D25" s="8" t="inlineStr">
        <is>
          <t>Gửi đề xuất NGAY Ngày 1. UC030 cần 3 cột ở Ngày 9, UC014 cần handoff_events ở Ngày 12, UC039 cần analytics-cg ở Ngày 15.</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5" customWidth="1" min="4" max="4"/>
    <col width="42" customWidth="1" min="5" max="5"/>
    <col width="52" customWidth="1" min="6" max="6"/>
    <col width="96" customWidth="1" min="7" max="7"/>
    <col width="58" customWidth="1" min="8" max="8"/>
    <col width="15" customWidth="1" min="9" max="9"/>
  </cols>
  <sheetData>
    <row r="1" ht="30" customHeight="1">
      <c r="A1" s="4" t="inlineStr">
        <is>
          <t>Tuần</t>
        </is>
      </c>
      <c r="B1" s="4" t="inlineStr">
        <is>
          <t>Ngày</t>
        </is>
      </c>
      <c r="C1" s="4" t="inlineStr">
        <is>
          <t>Ngày lịch</t>
        </is>
      </c>
      <c r="D1" s="4" t="inlineStr">
        <is>
          <t>Người phụ trách</t>
        </is>
      </c>
      <c r="E1" s="4" t="inlineStr">
        <is>
          <t>Tên Task / Use Case</t>
        </is>
      </c>
      <c r="F1" s="4" t="inlineStr">
        <is>
          <t>Điểm xuất phát (repo 20/09)</t>
        </is>
      </c>
      <c r="G1" s="4" t="inlineStr">
        <is>
          <t>Chi tiết công việc (Action Items)</t>
        </is>
      </c>
      <c r="H1" s="4" t="inlineStr">
        <is>
          <t>Minh chứng báo cáo</t>
        </is>
      </c>
      <c r="I1" s="4" t="inlineStr">
        <is>
          <t>Tiến độ</t>
        </is>
      </c>
    </row>
    <row r="2" ht="165" customHeight="1">
      <c r="A2" s="11" t="inlineStr">
        <is>
          <t>Tuần 1</t>
        </is>
      </c>
      <c r="B2" s="11" t="inlineStr">
        <is>
          <t>Ngày 1</t>
        </is>
      </c>
      <c r="C2" s="11" t="inlineStr">
        <is>
          <t>T2 21/09</t>
        </is>
      </c>
      <c r="D2" s="11" t="inlineStr">
        <is>
          <t>Dev A</t>
        </is>
      </c>
      <c r="E2" s="12" t="inlineStr">
        <is>
          <t>Dựng CSDL thật từ V201–V209 + test cách ly tenant đầu tiên</t>
        </is>
      </c>
      <c r="F2" s="13" t="inlineStr">
        <is>
          <t>ĐÃ CÓ: 9 file migration Flyway V201–V209 (654 dòng), RLS ENABLE + FORCE trên cả 6 bảng (V207), hàm ai.current_tenant(), scripts/migrate-ai.sh, scripts/init-db.sql, docker-compose.yml, ai-service/scripts/create_hnsw_index.sql.
CHƯA CÓ: chưa từng chạy Flyway thật (không có flyway_schema_history); ai-service/tests/ có ĐÚNG 0 test.</t>
        </is>
      </c>
      <c r="G2" s="13" t="inlineStr">
        <is>
          <t>CODE: docker compose up -d postgres redis kafka (cả 4 phải healthy) → bash scripts/migrate-ai.sh → kiểm \dt knowledge.* ai.* integration.* ra đủ 6 bảng, \di ra đủ chỉ mục của V202–V209.
LƯU Ý: create_hnsw_index.sql chạy TAY và chạy SAU khi đã nạp dữ liệu (CONCURRENTLY) — hôm nay chỉ xác nhận script đúng cú pháp, chưa chạy.
CODE: tests/integration/test_rls.py — ba ca bắt buộc: (a) tenant A đọc chunk của B trả RỖNG; (b) pool.acquire() mà KHÔNG SET LOCAL app.tenant_id cũng trả RỖNG (fail-closed, không phải trả tất cả); (c) SELECT current_user trả ai_app chứ không phải crm_owner — chủ bảng bypass RLS kể cả khi đã FORCE.
CODE: thêm job test RLS vào .github/workflows/ci.yml dùng testcontainers (dev.txt đã có sẵn gói này). KHÔNG có test này xanh thì không ai được đi tiếp sang Ngày 2.
GỬI TRACK A NGAY HÔM NAY: docs/contracts/de-xuat-track-a-lead-scores-outcome.md (3 cột rule_score / outcome / outcome_at). Ngày 9 mới cần nhưng Track A cần thời gian viết migration V1xx — gửi muộn là chặn UC030.</t>
        </is>
      </c>
      <c r="H2" s="13" t="inlineStr">
        <is>
          <t>Ảnh chụp flyway_schema_history đủ 9 dòng V201–V209; danh sách 6 bảng + chỉ mục; test_rls.py 3/3 ca XANH trong CI; ảnh chụp SELECT current_user = ai_app; email/tin nhắn đã gửi đề xuất 3 cột cho Track A kèm dấu thời gian.</t>
        </is>
      </c>
      <c r="I2" s="14" t="inlineStr">
        <is>
          <t>Chưa bắt đầu</t>
        </is>
      </c>
    </row>
    <row r="3" ht="165" customHeight="1">
      <c r="A3" s="11" t="inlineStr">
        <is>
          <t>Tuần 1</t>
        </is>
      </c>
      <c r="B3" s="11" t="inlineStr">
        <is>
          <t>Ngày 1</t>
        </is>
      </c>
      <c r="C3" s="11" t="inlineStr">
        <is>
          <t>T2 21/09</t>
        </is>
      </c>
      <c r="D3" s="11" t="inlineStr">
        <is>
          <t>Dev B</t>
        </is>
      </c>
      <c r="E3" s="12" t="inlineStr">
        <is>
          <t>Chốt 4 mâu thuẫn hợp đồng + siết cổng CI dung lượng image</t>
        </is>
      </c>
      <c r="F3" s="13" t="inlineStr">
        <is>
          <t>ĐÃ CÓ: .github/workflows/ci.yml chạy thật với cổng chặn ML runtime 3 gói (onnxruntime|torch|xgboost) + chặn import sklearn trong src/; docs/openapi/ai-service-to-java-core.yaml có ~22 path nhưng gần như chỉ có summary + TODO; docs/events/ có 5 schema JSON; scripts/create-topics.sh tạo 5 topic crm.*.v1.
CHƯA CÓ: body/response của mọi endpoint; cổng dung lượng image mới là ::warning:: chứ chưa exit 1.</t>
        </is>
      </c>
      <c r="G3" s="13" t="inlineStr">
        <is>
          <t>CHỐT 1 — TÊN ENDPOINT. Hiện lệch hai bộ: src/ai/service.py ghi /v1/ai/chat, /v1/ai/kb/documents; OpenAPI ghi /v1/answer, /v1/documents/ingest. Chọn MỘT bộ (đề xuất /v1/ai/** theo Master Plan §2.5 và rule ai-service.md: /v1/ai/** có phiên bản, /health /ready /metrics không) rồi sửa cả hai nơi cho khớp.
CHỐT 2 — BỘ TOPIC KAFKA. Repo có 5 topic crm.*.v1, Master Plan §2.6 khai 8 topic. Không thể hoãn nữa vì consumer đầu tiên viết ở Ngày 5. Chốt danh sách, cập nhật scripts/create-topics.sh + docs/events/, nhớ crm.deal.closed (vòng phản hồi outcome của UC030) chưa có trong CẢ HAI bộ.
CHỐT 3 — CHỖ ĐẶT BỘ VÀNG. tests/eval/golden_set.jsonl (rule rag-eval.md) hay data/golden_qa.jsonl (CLAUDE.md gốc)? Hai file đang tồn tại song song, một cái rỗng một cái chưa có. Chọn một, xoá nhắc tới cái kia.
CHỐT 4 — CỠ TẬP TEST NGƯỜI THẬT. ADR-0016 ghi không dưới 250; lịch 21 ngày 2 người chỉ vừa 200. Chốt 200 và ghi lý do vào ADR phạm vi — im lặng rồi nộp 200 mới là thứ mất điểm.
CODE: điền requestBody + responses cho 8 path trong phạm vi; bật exit 1 cho cổng dung lượng image.</t>
        </is>
      </c>
      <c r="H3" s="13" t="inlineStr">
        <is>
          <t>4 quyết định ghi thành ADR-0017 (một ADR gộp, mục Bối cảnh trích đúng file:dòng đang lệch); redocly lint xanh trên ai-service-to-java-core.yaml; create-topics.sh chạy ra đúng số topic đã chốt; CI đỏ khi image vượt ngưỡng (chứng minh cổng có hiệu lực).</t>
        </is>
      </c>
      <c r="I3" s="14" t="inlineStr">
        <is>
          <t>Chưa bắt đầu</t>
        </is>
      </c>
    </row>
    <row r="4" ht="165" customHeight="1">
      <c r="A4" s="11" t="inlineStr">
        <is>
          <t>Tuần 1</t>
        </is>
      </c>
      <c r="B4" s="11" t="inlineStr">
        <is>
          <t>Ngày 2</t>
        </is>
      </c>
      <c r="C4" s="11" t="inlineStr">
        <is>
          <t>T3 22/09</t>
        </is>
      </c>
      <c r="D4" s="11" t="inlineStr">
        <is>
          <t>Dev A</t>
        </is>
      </c>
      <c r="E4" s="12" t="inlineStr">
        <is>
          <t>Tầng truy cập CSDL có RLS + export encoder 1024 chiều sang ONNX INT8</t>
        </is>
      </c>
      <c r="F4" s="13" t="inlineStr">
        <is>
          <t>ĐÃ CÓ: src/ai/config.py chạy được (embedding_dim=1024, rrf_k=60, retrieve_top_k=20); src/api/deps.py có get_tenant_id fail-closed.
KHUNG RỖNG: src/ai/db/ chỉ có docstring, 0 model, 0 repository. CHƯA CÓ: artifact .onnx nào, artifacts/MODEL_REGISTRY.md bảng đăng ký toàn '(chưa có)'.</t>
        </is>
      </c>
      <c r="G4" s="13" t="inlineStr">
        <is>
          <t>CODE: src/ai/db/session.py — pool asyncpg; SET LOCAL app.tenant_id đặt NGAY SAU pool.acquire() và trong CÙNG transaction với truy vấn. Đây là bẫy connection pool: SET không có LOCAL sẽ dính lại trên kết nối và rò sang request của tenant khác. Kết nối bằng role ai_app.
CODE: repository cho knowledge_documents và knowledge_chunks; mọi truy vấn vector lọc tenant_id NGAY TRONG truy vấn, không lọc ở Python (ADR-0007, bề mặt T6).
R&amp;D (Kaggle, CHẠY CPU): chọn encoder cho ra vector ĐÚNG 1024 chiều — ràng buộc cứng từ V203 dòng 17, không đổi được vì cột đã là vector(1024). Export ONNX, lượng tử hoá INT8 động per-channel, ghi sha256 vào artifacts/MODEL_REGISTRY.md.
TEST — CỔNG PARITY: cosine giữa fp32 và INT8 trên 500 câu phải ≥ 0,995. Không đạt thì dừng, đổi model, không đi tiếp.</t>
        </is>
      </c>
      <c r="H4" s="13" t="inlineStr">
        <is>
          <t>PARITY COSINE INT8 vs fp32 ≥ 0,995 (bảng + histogram); xác nhận số chiều vector = 1024 bằng một lượt INSERT thật vào knowledge_chunks (sai chiều là lỗi ngay ở tầng CSDL); MODEL_REGISTRY.md có dòng đầu tiên thật với sha256; test RLS vẫn xanh sau khi thêm session.py.</t>
        </is>
      </c>
      <c r="I4" s="14" t="inlineStr">
        <is>
          <t>Chưa bắt đầu</t>
        </is>
      </c>
    </row>
    <row r="5" ht="165" customHeight="1">
      <c r="A5" s="11" t="inlineStr">
        <is>
          <t>Tuần 1</t>
        </is>
      </c>
      <c r="B5" s="11" t="inlineStr">
        <is>
          <t>Ngày 2</t>
        </is>
      </c>
      <c r="C5" s="11" t="inlineStr">
        <is>
          <t>T3 22/09</t>
        </is>
      </c>
      <c r="D5" s="11" t="inlineStr">
        <is>
          <t>Dev B</t>
        </is>
      </c>
      <c r="E5" s="12" t="inlineStr">
        <is>
          <t>Hiện thực tầng suy luận thật + BUỔI CHUNG gõ tập test người thật</t>
        </is>
      </c>
      <c r="F5" s="13" t="inlineStr">
        <is>
          <t>ĐÃ CÓ: inference/Dockerfile, inference/compose.inference.yml định nghĩa đủ 3 service ai-embed:8081 / ai-rerank:8082 / ai-classify:8083 với OMP_NUM_THREADS = cpus và requests==limits; inference/requirements/base.txt có onnxruntime, KHÔNG có torch.
STUB: inference/src/entrypoint.py hiện raise NotImplementedError — container build được nhưng crash ngay. session.py, bench_cpu.py, roles/*.py đều 0 dòng code. src/ai/inference/clients.py cũng chỉ docstring.
CHƯA CÓ: data/intent_test_human.jsonl, artifacts/DATA_HASHES.txt.</t>
        </is>
      </c>
      <c r="G5" s="13" t="inlineStr">
        <is>
          <t>CODE: inference/src/session.py — make_session() ghim intra_op = OMP_NUM_THREADS, inter_op_num_threads = 1. ONNX Runtime đọc số CPU của NODE chứ không đọc limits của container: để mặc định thì p95 có thể tệ gấp 3 lần mà không log nào báo.
CODE: entrypoint.py thật (MODEL_ROLE=embed|rerank|classify), roles/embed.py, /ready với 3 bất biến §3.4.2 — model_id khớp cấu hình, thứ tự cột khớp meta.json, số luồng khớp cpus — FAIL-CLOSED trả 503 nếu lệch.
CODE: src/ai/inference/clients.py ba backend remote | mock | offline; mock có seed cố định cho mọi endpoint để Track A chạy song song không phải chờ.
DATA — BUỔI CHUNG CẢ HAI NGƯỜI, ~3 GIỜ: gõ tay 200 câu hỏi thật theo 7 nhánh ý định, có cả câu KHÔNG DẤU, viết tắt, sai chính tả. Đóng băng data/intent_test_human.jsonl + ghi sha256 vào artifacts/DATA_HASHES.txt. Từ lúc đóng băng, file này KHÔNG BAO GIỜ được sửa để cải thiện điểm.</t>
        </is>
      </c>
      <c r="H5" s="13" t="inlineStr">
        <is>
          <t>Ảnh chụp /ready trả 503 khi cố tình để model_id lệch; docker compose -f inference/compose.inference.yml up lên được cả 3 container healthy; TẬP TEST 200 MẪU ĐÃ ĐÓNG BĂNG + hash SHA-256 trong Git. Không có tập này thì mọi con số macro-F1 về sau đều là ảo.</t>
        </is>
      </c>
      <c r="I5" s="14" t="inlineStr">
        <is>
          <t>Chưa bắt đầu</t>
        </is>
      </c>
    </row>
    <row r="6" ht="165" customHeight="1">
      <c r="A6" s="11" t="inlineStr">
        <is>
          <t>Tuần 1</t>
        </is>
      </c>
      <c r="B6" s="11" t="inlineStr">
        <is>
          <t>Ngày 3</t>
        </is>
      </c>
      <c r="C6" s="11" t="inlineStr">
        <is>
          <t>T4 23/09</t>
        </is>
      </c>
      <c r="D6" s="11" t="inlineStr">
        <is>
          <t>Dev A</t>
        </is>
      </c>
      <c r="E6" s="12" t="inlineStr">
        <is>
          <t>UC018 — Tải lên tài liệu tri thức</t>
        </is>
      </c>
      <c r="F6" s="13" t="inlineStr">
        <is>
          <t>ĐÃ CÓ: bảng knowledge.knowledge_documents (V202) với status, file_path, version, description (V209); ràng buộc ck_doc_failed; src/api/v1/router.py tồn tại nhưng 0 route.
CHƯA CÓ: route nào, bộ tệp mẫu nào.</t>
        </is>
      </c>
      <c r="G6" s="13" t="inlineStr">
        <is>
          <t>DATA: bộ 20 tệp mẫu PDF/DOCX/TXT/MD/HTML + 5 tệp lỗi (quá 20 MB, sai MIME, PDF scan không trích được text). Đây cũng là nguồn của golden set Ngày 6 nên chọn tài liệu có nội dung nghiệp vụ thật (bảng giá, chính sách bảo hành, quy trình đổi trả), không lấy văn bản ngẫu nhiên.
CODE: POST theo tên endpoint đã chốt Ngày 1 — kiểm phần mở rộng + dung lượng + hạn mức max_documents của gói; ghi bản ghi PENDING kèm title 3–300 ký tự, description ≤ 500, language vi|en; lưu tệp theo đường dẫn CÓ CHỨA tenant_id (cô lập ngay ở tầng kho lưu trữ chứ không chỉ ở truy vấn); trùng tiêu đề thì tăng version, không ghi đè; trả 202 + job_id; phát sự kiện với khoá phân vùng = tenant_id.
TEST: 5 mã lỗi tách bạch 413 (tệp &gt; 20 MB) / 415 (sai định dạng) / 409 (chạm hạn mức gói) / 422 / PARSE_NO_TEXT_EXTRACTED — đây là điểm 1 trong 'Mười một điểm cần chốt' của đặc tả UC.</t>
        </is>
      </c>
      <c r="H6" s="13" t="inlineStr">
        <is>
          <t>Bảng 5 ca lỗi × mã HTTP đúng (25/25 tệp mẫu); ảnh chụp đường dẫn lưu trữ có tenant_id; ngưỡng cảnh báo hạn mức 80% và chặn 100%; 20 tệp mẫu đã vào repo (đã kiểm không chứa dữ liệu cá nhân).</t>
        </is>
      </c>
      <c r="I6" s="14" t="inlineStr">
        <is>
          <t>Chưa bắt đầu</t>
        </is>
      </c>
    </row>
    <row r="7" ht="165" customHeight="1">
      <c r="A7" s="11" t="inlineStr">
        <is>
          <t>Tuần 1</t>
        </is>
      </c>
      <c r="B7" s="11" t="inlineStr">
        <is>
          <t>Ngày 3</t>
        </is>
      </c>
      <c r="C7" s="11" t="inlineStr">
        <is>
          <t>T4 23/09</t>
        </is>
      </c>
      <c r="D7" s="11" t="inlineStr">
        <is>
          <t>Dev B</t>
        </is>
      </c>
      <c r="E7" s="12" t="inlineStr">
        <is>
          <t>UC022 (1/4) — Dữ liệu huấn luyện + gán nhãn chéo</t>
        </is>
      </c>
      <c r="F7" s="13" t="inlineStr">
        <is>
          <t>ĐÃ CÓ: tập test người thật 200 mẫu đóng băng từ Ngày 2; notebooks/requirements.txt đã liệt kê đủ torch, transformers, sentence-transformers, xgboost, skl2onnx.
CHƯA CÓ: notebooks/ không có file .ipynb nào.</t>
        </is>
      </c>
      <c r="G7" s="13" t="inlineStr">
        <is>
          <t>DATA: sinh 3.000 mẫu train bằng LLM theo phân bổ BẮT BUỘC — 25% lịch sự đầy đủ / 25% chat ngắn viết tắt / 20% KHÔNG DẤU / 15% lỗi chính tả / 10% pha tiếng Anh / 5% emoji. KHỬ TRÙNG LẶP gần giống: không làm thì khoảng 30% là bản sao và mọi chỉ số bị thổi phồng.
DATA: gán nhãn chéo tập test người thật cùng Dev A — mỗi người gán ĐỘC LẬP rồi mới đối chiếu, đo Cohen's kappa, ngồi lại giải quyết mọi ca bất đồng. Bất đồng nhãn ở đây biến thành sai số hệ thống ở MỌI chỉ số về sau.
CODE: notebook 04_data_router.ipynb có đủ 4 điều kiện tái lập — ghim seed, ghim phiên bản thư viện, ghi hash dữ liệu, xuất metric ra file.</t>
        </is>
      </c>
      <c r="H7" s="13" t="inlineStr">
        <is>
          <t>Số mẫu train trước/sau khử trùng lặp; biểu đồ phân bố 6 văn phong so với tỉ lệ mục tiêu; COHEN'S KAPPA giữa 2 người gán nhãn — số liệu này chỉ có khi làm 2 người, đáng đưa vào báo cáo.</t>
        </is>
      </c>
      <c r="I7" s="14" t="inlineStr">
        <is>
          <t>Chưa bắt đầu</t>
        </is>
      </c>
    </row>
    <row r="8" ht="165" customHeight="1">
      <c r="A8" s="11" t="inlineStr">
        <is>
          <t>Tuần 1</t>
        </is>
      </c>
      <c r="B8" s="11" t="inlineStr">
        <is>
          <t>Ngày 4</t>
        </is>
      </c>
      <c r="C8" s="11" t="inlineStr">
        <is>
          <t>T5 24/09</t>
        </is>
      </c>
      <c r="D8" s="11" t="inlineStr">
        <is>
          <t>Dev A</t>
        </is>
      </c>
      <c r="E8" s="12" t="inlineStr">
        <is>
          <t>UC019 (1/2) — Phân tích cú pháp, chuẩn hoá tiếng Việt, chia đoạn</t>
        </is>
      </c>
      <c r="F8" s="13" t="inlineStr">
        <is>
          <t>ĐÃ CÓ: requirements/base.txt đã có pymupdf, python-docx, trafilatura, pyvi, unidecode; knowledge_chunks có sẵn content_segmented + ix_chunk_fts (GIN) từ V203.
KHUNG RỖNG: src/ai/rag/ingest/ chỉ có 1 dòng docstring.</t>
        </is>
      </c>
      <c r="G8" s="13" t="inlineStr">
        <is>
          <t>CODE: parser đa định dạng chạy trong ProcessPoolExecutor ĐÚNG 1 WORKER (PDF hỏng làm treo tiến trình — tách tiến trình là để giết được nó mà không giết cả service).
CODE: normalize_vi xử lý zero-width, NFD/NFC, 'hoà'/'hòa', ký tự lặp. MỘT HÀM DUY NHẤT dùng cho CẢ hai đầu — lúc nạp và lúc truy vấn. Hai hàm khác nhau là lỗi thầm lặng: không có exception, chỉ có recall tụt.
CODE: chia đoạn ~500 token, GIỮ số trang và heading để trích dẫn được ('Bảng giá 2026 &gt; Gói Pro'); ghi content_segmented bằng pyvi; tsvector bọc unaccent trong hàm IMMUTABLE; dựng phrase query — toán tử liền kề cho cụm nhiều âm tiết, phép OR giữa các từ (dùng AND sẽ trả rỗng ngay khi khách gõ thừa một từ).
MIGRATION: nếu cần cột mới thì bắt đầu từ V210 — V201–V209 đã chạy, không sửa file cũ.
TEST: unit test normalize_vi; build_tsquery với câu KHÔNG DẤU; PDF scan phải chuyển FAILED kèm error_message.</t>
        </is>
      </c>
      <c r="H8" s="13" t="inlineStr">
        <is>
          <t>Bảng tỉ lệ trích xuất thành công theo từng định dạng; phân bố số token mỗi đoạn (trung vị ~500); tỉ lệ khớp truy vấn KHÔNG DẤU trước/sau khi bật unaccent; ảnh chụp một chunk có heading đầy đủ.</t>
        </is>
      </c>
      <c r="I8" s="14" t="inlineStr">
        <is>
          <t>Chưa bắt đầu</t>
        </is>
      </c>
    </row>
    <row r="9" ht="165" customHeight="1">
      <c r="A9" s="11" t="inlineStr">
        <is>
          <t>Tuần 1</t>
        </is>
      </c>
      <c r="B9" s="11" t="inlineStr">
        <is>
          <t>Ngày 4</t>
        </is>
      </c>
      <c r="C9" s="11" t="inlineStr">
        <is>
          <t>T5 24/09</t>
        </is>
      </c>
      <c r="D9" s="11" t="inlineStr">
        <is>
          <t>Dev B</t>
        </is>
      </c>
      <c r="E9" s="12" t="inlineStr">
        <is>
          <t>UC022 (2/4) — Huấn luyện nhánh C + phóng nhánh B chạy GPU qua đêm</t>
        </is>
      </c>
      <c r="F9" s="13" t="inlineStr">
        <is>
          <t>ĐÃ CÓ: ai-embed chạy được từ Ngày 2 nên nhánh C có sẵn nguồn vector.
QUYẾT ĐỊNH PHẠM VI: chỉ làm 2 trong 3 nhánh của Master Plan §5.9 — bỏ nhánh A (TF-IDF + LinearSVC).</t>
        </is>
      </c>
      <c r="G9" s="13" t="inlineStr">
        <is>
          <t>CODE nhánh C: embedding từ ai-embed + k-NN/logistic. Router và retrieval dùng chung MỘT lời gọi embedding nên chi phí độ trễ THÊM cho router bằng KHÔNG — đây là lợi thế cấu trúc, không phải phương án phụ.
CODE nhánh B: notebook 05_train_router_xlmr.ipynb — fine-tune XLM-R base trên tập tổng hợp đã khử trùng lặp.
CUỐI NGÀY: đẩy notebook nhánh B lên Kaggle GPU, PHÓNG CHẠY QUA ĐÊM — 3–4 giờ máy, 0 giờ người. Đây là lý do giữ được nhánh B mà không tốn thêm ngày làm việc nào.
GHI ADR lý do bỏ nhánh A: A là baseline RẺ NHẤT và là nhánh duy nhất chắc chắn lọt ngân sách 60 ms (p95 vài ms). Bỏ A nghĩa là nếu B quá chậm thì chỉ còn C làm lưới an toàn — may là C tái dùng ai-embed nên lưới này khá chắc. Không ghi ADR thì báo cáo bị đọc là thiếu sót chứ không phải quyết định.</t>
        </is>
      </c>
      <c r="H9" s="13" t="inlineStr">
        <is>
          <t>Kết quả nhánh C trên tập test người thật 200 mẫu; log Kaggle xác nhận nhánh B đang chạy; 2 notebook có đủ 4 điều kiện tái lập; ADR ghi rõ lý do bỏ nhánh A kèm đánh đổi.</t>
        </is>
      </c>
      <c r="I9" s="14" t="inlineStr">
        <is>
          <t>Chưa bắt đầu</t>
        </is>
      </c>
    </row>
    <row r="10" ht="165" customHeight="1">
      <c r="A10" s="11" t="inlineStr">
        <is>
          <t>Tuần 1</t>
        </is>
      </c>
      <c r="B10" s="11" t="inlineStr">
        <is>
          <t>Ngày 5</t>
        </is>
      </c>
      <c r="C10" s="11" t="inlineStr">
        <is>
          <t>T6 25/09</t>
        </is>
      </c>
      <c r="D10" s="11" t="inlineStr">
        <is>
          <t>Dev A</t>
        </is>
      </c>
      <c r="E10" s="12" t="inlineStr">
        <is>
          <t>UC019 (2/2) — Nhúng theo lô + worker Kafka + DLQ</t>
        </is>
      </c>
      <c r="F10" s="13" t="inlineStr">
        <is>
          <t>ĐÃ CÓ: requirements có aiokafka; bộ topic đã chốt Ngày 1.
STUB: src/worker/main.py hiện raise NotImplementedError (dòng 38); src/worker/consumers/ rỗng; src/api/main.py còn 4 TODO trong lifespan (khởi động Kafka consumer, middleware trace, exception handler, /metrics).</t>
        </is>
      </c>
      <c r="G10" s="13" t="inlineStr">
        <is>
          <t>CODE: /v1/embed/batch lô 32 đoạn — không gom toàn bộ vector vào RAM; semaphore giới hạn ĐÚNG 1 job nạp đồng thời (dùng chung hàng đợi với UC020).
CODE: worker thật thay cho NotImplementedError — consumer với enable_auto_commit=False (auto-commit đánh dấu xử lý xong TRƯỚC khi thực sự xong; một lần pod chết là mất sự kiện), max_poll_interval_ms=600000, xác nhận offset SAU khi xử lý thành công; chống trùng bằng INSERT ... ON CONFLICT DO NOTHING vào bảng processed_events — 0 dòng ảnh hưởng thì bỏ qua sự kiện.
CODE: chuyển tài liệu sang READY + chunk_count + indexed_at; lỗi vĩnh viễn đẩy sang DLQ; endpoint trả 6 bước tiến độ của job.
CODE: chạy create_hnsw_index.sql LẦN ĐẦU sau khi đã có chunk thật (m=16, ef_construction=64, CONCURRENTLY).
TEST: ép lỗi lược đồ để kiểm chứng DLQ; restart worker giữa chừng, job phải hoàn tất hoặc được nhận lại nguyên vẹn.</t>
        </is>
      </c>
      <c r="H10" s="13" t="inlineStr">
        <is>
          <t>Thời gian nạp tài liệu 100 trang (đo thật); throughput đoạn/giây; ảnh chụp sự kiện nằm trong DLQ; biểu đồ 6 bước tiến độ của một job; \di xác nhận chỉ mục HNSW đã tồn tại trên knowledge_chunks.</t>
        </is>
      </c>
      <c r="I10" s="14" t="inlineStr">
        <is>
          <t>Chưa bắt đầu</t>
        </is>
      </c>
    </row>
    <row r="11" ht="165" customHeight="1">
      <c r="A11" s="11" t="inlineStr">
        <is>
          <t>Tuần 1</t>
        </is>
      </c>
      <c r="B11" s="11" t="inlineStr">
        <is>
          <t>Ngày 5</t>
        </is>
      </c>
      <c r="C11" s="11" t="inlineStr">
        <is>
          <t>T6 25/09</t>
        </is>
      </c>
      <c r="D11" s="11" t="inlineStr">
        <is>
          <t>Dev B</t>
        </is>
      </c>
      <c r="E11" s="12" t="inlineStr">
        <is>
          <t>UC022 (3/4) — So sánh hai nhánh có khoảng tin cậy + chốt nhánh ship + export ONNX</t>
        </is>
      </c>
      <c r="F11" s="13" t="inlineStr">
        <is>
          <t>ĐÃ CÓ: kết quả nhánh B chạy qua đêm; ai-classify đã dựng khung từ Ngày 2 (roles/classify.py còn rỗng).</t>
        </is>
      </c>
      <c r="G11" s="13" t="inlineStr">
        <is>
          <t>TEST: đánh giá CẢ HAI nhánh trên CÙNG tập test người thật đã đóng băng Ngày 2; macro-F1 kèm KTC bootstrap; so sánh THEO CẶP (paired bootstrap, KTC 95%) chứ không so hai con số trần — hai model chênh 1,5 điểm trên 200 mẫu rất có thể chỉ là nhiễu; vẽ confusion matrix cho từng nhánh.
QUY TẮC CHỐT (§5.9): thắng rõ ràng (chênh &gt; 3 điểm macro-F1 và KTC không chồng lấn) thì ship nhánh đó; không chênh có ý nghĩa thì ship nhánh có p95 THẤP NHẤT — tiêu chí DUY NHẤT để phá thế hoà. Lưu ý riêng của cặp B/C: XLM-R base 278M chạy CPU rất dễ vượt ngân sách 60 ms, nên hoàn toàn có thể B thắng về macro-F1 mà vẫn phải ship C. Đó KHÔNG phải thất bại mà là một kết quả đáng viết vào báo cáo.
TEST: chọn ngưỡng bỏ phiếu trắng TỪ ĐƯỜNG CONG KIỂM ĐỊNH tại điểm độ chính xác phần giữ lại ≈ 0,95.
CODE: export nhánh thắng sang ONNX INT8, viết roles/classify.py thật — SINH RA ĐÃ Ở ĐÚNG CHỖ, không viết in-process rồi di trú sau; MODEL_CARD_router ghi cho CẢ HAI nhánh.</t>
        </is>
      </c>
      <c r="H11" s="13" t="inlineStr">
        <is>
          <t>BẢNG 2 NHÁNH × macro-F1 × KTC 95% × p95 × kích thước model — đưa CẢ HAI vào báo cáo chứ không chỉ nhánh thắng; 2 confusion matrix; ĐỒ THỊ đường cong abstention và điểm đã chọn; ADR chốt nhánh nêu rõ thắng về chất lượng hay thắng về độ trễ; parity ONNX đạt.</t>
        </is>
      </c>
      <c r="I11" s="14" t="inlineStr">
        <is>
          <t>Chưa bắt đầu</t>
        </is>
      </c>
    </row>
    <row r="12" ht="165" customHeight="1">
      <c r="A12" s="11" t="inlineStr">
        <is>
          <t>Tuần 1</t>
        </is>
      </c>
      <c r="B12" s="11" t="inlineStr">
        <is>
          <t>Ngày 6</t>
        </is>
      </c>
      <c r="C12" s="11" t="inlineStr">
        <is>
          <t>T7 26/09</t>
        </is>
      </c>
      <c r="D12" s="11" t="inlineStr">
        <is>
          <t>Dev A</t>
        </is>
      </c>
      <c r="E12" s="12" t="inlineStr">
        <is>
          <t>Hybrid Search + bộ vàng v1 + khai thác dữ liệu fine-tune (phóng GPU qua đêm)</t>
        </is>
      </c>
      <c r="F12" s="13" t="inlineStr">
        <is>
          <t>ĐÃ CÓ: config.py đã ghim rrf_k=60 và retrieve_top_k=20; V203 đã có sẵn cả chỉ mục HNSW lẫn GIN — hai làn truy hồi đã sẵn sàng ở tầng CSDL.
KHUNG RỖNG: src/ai/rag/retrieve/ 1 dòng docstring. CHƯA CÓ: bộ vàng (file rỗng 0 dòng).</t>
        </is>
      </c>
      <c r="G12" s="13" t="inlineStr">
        <is>
          <t>CODE: MỘT câu SQL gộp làn vector (HNSW cosine) và làn từ khoá (GIN tsvector), hợp nhất bằng RRF hằng số 60 — chỉ dùng THỨ HẠNG, không dùng điểm thô, nên không phải chuẩn hoá hai thang điểm khác nhau. Mỗi làn 30 ứng viên. SET LOCAL hnsw.ef_search=100 và hnsw.iterative_scan='relaxed_order' trong CÙNG transaction. KHÔNG 'cải tiến' RRF thành weighted sum (ADR-0006).
DATA: soạn bộ vàng v1 — 40–50 cặp câu hỏi/đoạn đúng từ 20 tệp mẫu Ngày 3, đặt đúng chỗ đã chốt Ngày 1. BẮT BUỘC có trước khi đo, vì recall@5 phải có mẫu số.
TEST — ĐO BASELINE (model pretrained): dense-only vs sparse-only vs hybrid, và 1 tenant vs 20 tenant. ĐÂY LÀ MỐC SO SÁNH DUY NHẤT của phần fine-tune — không đo hôm nay thì ngày mai không có gì để so.
DATA fine-tune: khai thác cặp huấn luyện từ CHÍNH kho tri thức — positive = (câu hỏi sinh từ đoạn, đoạn đó), hard negative = đoạn lọt top-5 hybrid nhưng SAI (chỉ có được SAU khi hybrid chạy, nên đúng thứ tự là hôm nay); MultipleNegativesRankingLoss; tách tập giữ lại theo TÀI LIỆU không theo đoạn.
CUỐI NGÀY: phóng notebook 07_finetune_embedding.ipynb lên Kaggle GPU — 3–5 giờ máy, 0 giờ người.</t>
        </is>
      </c>
      <c r="H12" s="13" t="inlineStr">
        <is>
          <t>HYBRID THẮNG DENSE-ONLY ≥ 5 ĐIỂM RECALL@5 (bảng 3 dòng); CHÊNH LỆCH RECALL@5 GIỮA 1 TENANT VÀ 20 TENANT &lt; 3 ĐIỂM; BẢNG BASELINE recall@5 và nDCG@5 của model pretrained — cột đối chứng của toàn bộ phần fine-tune; số cặp huấn luyện khai thác được + tỉ lệ hard negative.</t>
        </is>
      </c>
      <c r="I12" s="14" t="inlineStr">
        <is>
          <t>Chưa bắt đầu</t>
        </is>
      </c>
    </row>
    <row r="13" ht="165" customHeight="1">
      <c r="A13" s="11" t="inlineStr">
        <is>
          <t>Tuần 1</t>
        </is>
      </c>
      <c r="B13" s="11" t="inlineStr">
        <is>
          <t>Ngày 6</t>
        </is>
      </c>
      <c r="C13" s="11" t="inlineStr">
        <is>
          <t>T7 26/09</t>
        </is>
      </c>
      <c r="D13" s="11" t="inlineStr">
        <is>
          <t>Dev B</t>
        </is>
      </c>
      <c r="E13" s="12" t="inlineStr">
        <is>
          <t>UC022 (4/4) — API định tuyến 7 nhánh + Guardrails</t>
        </is>
      </c>
      <c r="F13" s="13" t="inlineStr">
        <is>
          <t>ĐÃ CÓ: ai.ai_interactions (V204) đã có sẵn intent, intent_confidence, branch, model_name, model_version; safety_flag + ix_interaction_safety (partial index) có từ V208 — lược đồ telemetry đã sẵn.
KHUNG RỖNG: src/ai/guardrails/ chưa có normalize.py / injection.py / pii.py.</t>
        </is>
      </c>
      <c r="G13" s="13" t="inlineStr">
        <is>
          <t>CODE: endpoint phân loại gọi ai-classify, timeout 1.000 ms, thử lại 1 lần; 7 nhánh xử lý (trò chuyện xã giao, truy hồi tri thức, gọi công cụ, hỏi lại, chuyển giao, tóm tắt, trích xuất); intent_confidence 3 chữ số thập phân; đường nhanh khi confidence ≥ 0,85 VÀ intent thuộc danh sách đi nhanh.
GIỮ NGUYÊN 7 NHÁNH trong taxonomy kể cả nhánh 'gọi công cụ'. Trong phạm vi đồ án, nhánh này được phân loại đúng rồi định tuyến sang chuyển giao với lý do 'cần duyệt thao tác ghi' (một trong 8 lý do của UC014). Cắt nhánh khỏi taxonomy sẽ làm lệch toàn bộ số liệu telemetry và phải huấn luyện lại router nếu sau này mở rộng sang tích hợp hệ thống ngoài — xem sheet 'Mở rộng sau đồ án'.
CODE: guardrails THUẦN PYTHON, không model, chạy TRƯỚC LLM — detect_injection + PII Việt Nam (số điện thoại, CCCD, email). Dev A gắn vào node guard ở Ngày 8 nên phải xong hôm nay.
TEST: bộ ≥ 60 mẫu injection ghi vào tests/eval/adversarial.jsonl (file đang rỗng) + bộ câu hỏi bình thường để đo báo nhầm.</t>
        </is>
      </c>
      <c r="H13" s="13" t="inlineStr">
        <is>
          <t>p95 bước phân loại ĐO THẬT qua remote so với ngân sách 60 ms; detect_injection trên bộ ≥ 60 mẫu với BÁO NHẦM câu hỏi bình thường &lt; 1%; tỉ lệ đường nhanh sơ bộ; ảnh chụp lượt 'gọi công cụ' được định tuyến sang chuyển giao đúng lý do.</t>
        </is>
      </c>
      <c r="I13" s="14" t="inlineStr">
        <is>
          <t>Chưa bắt đầu</t>
        </is>
      </c>
    </row>
    <row r="14" ht="165" customHeight="1">
      <c r="A14" s="11" t="inlineStr">
        <is>
          <t>Tuần 1</t>
        </is>
      </c>
      <c r="B14" s="11" t="inlineStr">
        <is>
          <t>Ngày 7</t>
        </is>
      </c>
      <c r="C14" s="11" t="inlineStr">
        <is>
          <t>CN 27/09</t>
        </is>
      </c>
      <c r="D14" s="11" t="inlineStr">
        <is>
          <t>Dev A</t>
        </is>
      </c>
      <c r="E14" s="12" t="inlineStr">
        <is>
          <t>MỐC M1 — Fine-tune embedding: export, cổng parity, reindex, đo lại có KTC</t>
        </is>
      </c>
      <c r="F14" s="13" t="inlineStr">
        <is>
          <t>ĐÃ CÓ: kết quả huấn luyện qua đêm; cột embedding_model + embedding_version trên từng dòng knowledge_chunks (V203) — reindex là thao tác đã được thiết kế sẵn chứ không phải chữa cháy.</t>
        </is>
      </c>
      <c r="G14" s="13" t="inlineStr">
        <is>
          <t>CODE: thu kết quả; export bản fine-tune sang ONNX rồi lượng tử hoá INT8 động per-channel; MODEL_CARD_embedding v2 ghi sha256, dữ liệu huấn luyện, tập giữ lại.
TEST — CỔNG PARITY: cosine fp32 vs INT8 trên 500 câu phải ≥ 0,995. KHÔNG ĐẠT THÌ DỪNG, giữ bản pretrained, ghi ADR. Bản fine-tune có phân bố trọng số đã dịch nên INT8 có thể lệch nhiều hơn bản gốc.
CODE: script reindex — đổi embedding_model rồi nhúng lại TOÀN BỘ chunk; chạy nền, ~15–30 phút máy. Bản API đầy đủ làm ở Ngày 11 cùng UC020.
TEST: đo lại recall@5 và nDCG@5 trên CÙNG bộ vàng v1 của Ngày 6, so sánh THEO CẶP bằng paired bootstrap KTC 95% — tiêu chí đúng là Ý NGHĨA THỐNG KÊ chứ không phải một ngưỡng chênh lệch tuỳ tiện.
ĐƯỜNG LÙI: giữ cả hai artifact, đặt biến EMB_MODEL_VERSION; fine-tune thua hoặc parity trượt thì reindex ngược về pretrained, mất ~30 phút máy.
ĐIỀU KIỆN THOÁT M1: nạp được tài liệu thật vào knowledge_chunks · test cách ly tenant xanh trong CI · hybrid thắng dense ≥ 5 điểm · router chạy trong ai-classify. TRƯỢT → cắt rerank khỏi Ngày 8 và bỏ semantic cache ở Ngày 16.</t>
        </is>
      </c>
      <c r="H14" s="13" t="inlineStr">
        <is>
          <t>PARITY COSINE BẢN FINE-TUNE ≥ 0,995; HIỆU SỐ RECALL@5 TRƯỚC/SAU FINE-TUNE KÈM KTC 95% (paired bootstrap) — biểu đồ này là một mục riêng đáng giá trong báo cáo; MODEL_CARD v2; ADR quyết định ship hay rollback; thời gian reindex toàn bộ chunk; BẢNG ĐIỀU KIỆN THOÁT M1 4/4.</t>
        </is>
      </c>
      <c r="I14" s="14" t="inlineStr">
        <is>
          <t>Chưa bắt đầu</t>
        </is>
      </c>
    </row>
    <row r="15" ht="165" customHeight="1">
      <c r="A15" s="11" t="inlineStr">
        <is>
          <t>Tuần 1</t>
        </is>
      </c>
      <c r="B15" s="11" t="inlineStr">
        <is>
          <t>Ngày 7</t>
        </is>
      </c>
      <c r="C15" s="11" t="inlineStr">
        <is>
          <t>CN 27/09</t>
        </is>
      </c>
      <c r="D15" s="11" t="inlineStr">
        <is>
          <t>Dev B</t>
        </is>
      </c>
      <c r="E15" s="12" t="inlineStr">
        <is>
          <t>[Đệm + Kiểm thử] Kiểm chứng đường remote, tải hỗn hợp, báo cáo Tuần 1</t>
        </is>
      </c>
      <c r="F15" s="13" t="inlineStr">
        <is>
          <t>Ngày này CỐ Ý để nhẹ — dùng trả nợ mọi việc dở của Ngày 1–6.</t>
        </is>
      </c>
      <c r="G15" s="13" t="inlineStr">
        <is>
          <t>TEST: đo p95 phân loại qua đường remote ai-api → ai-classify dưới tải nhẹ. Đường gọi này được xác thực ngay từ Tuần 1 thay vì bật lần đầu ở tuần cuối.
TEST TẢI HỖN HỢP: nạp một tài liệu 3.000 ĐOẠN TRONG KHI bắn 20 request đồng thời — đo p95 trước và trong lúc nạp. Đây là phép kiểm chứng cho cách ly tài nguyên, thay cho sự cách ly miễn phí mà hai Deployment riêng từng cung cấp. Chạy SAU khi reindex fine-tune của Dev A xong để không tranh CPU.
TEST: xác nhận cổng chặn CI vẫn xanh sau khi thêm ai-classify — image ai-service vẫn KHÔNG có onnxruntime / torch / xgboost, và vẫn không import sklearn trong src/.
VIẾT: phần báo cáo về UC022 kèm bảng so sánh hai nhánh router.</t>
        </is>
      </c>
      <c r="H15" s="13" t="inlineStr">
        <is>
          <t>p95 classify ≤ 60 ms qua remote; p95 KHÔNG XẤU ĐI QUÁ 15% khi đang nạp (bảng 2 cột trước/trong); 0 rò rỉ tenant trên knowledge_chunks; cổng chặn CI xanh; BÁO CÁO TUẦN 1.</t>
        </is>
      </c>
      <c r="I15" s="14" t="inlineStr">
        <is>
          <t>Chưa bắt đầu</t>
        </is>
      </c>
    </row>
    <row r="16" ht="165" customHeight="1">
      <c r="A16" s="15" t="inlineStr">
        <is>
          <t>Tuần 2</t>
        </is>
      </c>
      <c r="B16" s="15" t="inlineStr">
        <is>
          <t>Ngày 8</t>
        </is>
      </c>
      <c r="C16" s="15" t="inlineStr">
        <is>
          <t>T2 28/09</t>
        </is>
      </c>
      <c r="D16" s="15" t="inlineStr">
        <is>
          <t>Dev A</t>
        </is>
      </c>
      <c r="E16" s="5" t="inlineStr">
        <is>
          <t>LangGraph khung 8 node + node guard + node retrieve</t>
        </is>
      </c>
      <c r="F16" s="6" t="inlineStr">
        <is>
          <t>ĐÃ CÓ: requirements/base.txt đã có langgraph, langchain-core.
CHƯA CÓ: src/ai/orchestrator/ chỉ có __init__.py ghi 'dự kiến: graph.py, nodes.py, edges.py, state.py, router.py' — chưa file nào tồn tại.</t>
        </is>
      </c>
      <c r="G16" s="6" t="inlineStr">
        <is>
          <t>CODE: StateGraph 8 node (guard, route, fastpath, retrieve, generate, postguard, handoff, telemetry) với cạnh điều kiện.
CODE: node guard (normalize + injection + PII, dùng lại guardrails Dev B viết Ngày 6).
CODE: node retrieve — hybrid_search(pool=30) → needs_rerank() kiểm AMBIGUITY_GAP: chênh điểm RRF giữa hạng 1 và hạng 3 &lt; 0,15 thì mới gọi cross-encoder; rerank trên 12 ứng viên đầu (KHÔNG phải 20); 5 đoạn vào lời nhắc; sàn liên quan toàn tập 0,25 và sàn từng đoạn 0,15. RERANK ĐẶT SAU FEATURE FLAG VÀ MẶC ĐỊNH TẮT.
LƯU Ý: từ hôm nay toàn bộ truy hồi chạy trên EMBEDDING ĐÃ FINE-TUNE (chốt ở Ngày 7). Mọi con số recall/nDCG từ đây trở đi đều là của bản fine-tune; bảng baseline pretrained đã lưu từ Ngày 6 để đối chứng.
MỌI node ghi vào src/ai/service.py — facade DUY NHẤT; api/ và worker/ chỉ gọi vào đây, không gọi thẳng orchestrator (luật chiều phụ thuộc, CI kiểm bằng grep).</t>
        </is>
      </c>
      <c r="H16" s="6" t="inlineStr">
        <is>
          <t>Sơ đồ máy trạng thái LangGraph 8 node; tỉ lệ lượt rơi vào vùng mơ hồ (kỳ vọng 30–40%); bảng nDCG@5 có/không rerank đo MỘT LẦN làm căn cứ cho ADR bật/tắt; CI vẫn xanh ở bước kiểm chiều phụ thuộc.</t>
        </is>
      </c>
      <c r="I16" s="14" t="inlineStr">
        <is>
          <t>Chưa bắt đầu</t>
        </is>
      </c>
    </row>
    <row r="17" ht="165" customHeight="1">
      <c r="A17" s="15" t="inlineStr">
        <is>
          <t>Tuần 2</t>
        </is>
      </c>
      <c r="B17" s="15" t="inlineStr">
        <is>
          <t>Ngày 8</t>
        </is>
      </c>
      <c r="C17" s="15" t="inlineStr">
        <is>
          <t>T2 28/09</t>
        </is>
      </c>
      <c r="D17" s="15" t="inlineStr">
        <is>
          <t>Dev B</t>
        </is>
      </c>
      <c r="E17" s="5" t="inlineStr">
        <is>
          <t>Node route + fastpath + telemetry (UC039 phần 1/2) + chốt AgentState</t>
        </is>
      </c>
      <c r="F17" s="6" t="inlineStr">
        <is>
          <t>ĐÃ CÓ: src/ai/telemetry/metrics.py đã khai báo 4 metric Prometheus nhưng CHƯA nơi nào gọi .observe(); logging.py đã có ContextVar trace_id/tenant_id.
CHƯA CÓ: /metrics chưa gắn vào app (TODO trong src/api/main.py).</t>
        </is>
      </c>
      <c r="G17" s="6" t="inlineStr">
        <is>
          <t>CODE: CHỐT CẤU TRÚC AgentState CÙNG DEV A TRƯỚC KHI AI CODE NODE NÀO — đây là điểm hai đường gặp nhau, lệch ở đây là conflict cả tuần. Quy tắc: mỗi người chỉ ĐĂNG KÝ node của mình vào registry, KHÔNG sửa node của người kia.
CODE: node route gọi ai-classify, ghi intent + confidence vào state; node fastpath trả template KHÔNG GỌI LLM.
CODE: node telemetry đặt CUỐI graph và LUÔN CHẠY kể cả khi bị chặn, bị từ chối hay suy giảm — chỉ ghi ở nhánh thành công thì báo cáo thiếu đúng những trường hợp đáng quan tâm nhất. Gọi .observe() trên 4 metric đã khai sẵn; gắn /metrics vào app (gỡ TODO trong main.py); phát sự kiện tương tác theo envelope đã chốt Ngày 1, trace_id nằm ở HEADER bản tin chứ không trong payload.</t>
        </is>
      </c>
      <c r="H17" s="6" t="inlineStr">
        <is>
          <t>Tỉ lệ lượt KHÔNG GỌI LLM (chỉ tiêu §1.6: ≥ 55%); ảnh chụp bản ghi telemetry của một lượt BỊ CHẶN và một lượt TỪ CHỐI — chứng minh node luôn chạy; /metrics trả đủ 4 metric có giá trị thật.</t>
        </is>
      </c>
      <c r="I17" s="14" t="inlineStr">
        <is>
          <t>Chưa bắt đầu</t>
        </is>
      </c>
    </row>
    <row r="18" ht="165" customHeight="1">
      <c r="A18" s="15" t="inlineStr">
        <is>
          <t>Tuần 2</t>
        </is>
      </c>
      <c r="B18" s="15" t="inlineStr">
        <is>
          <t>Ngày 9</t>
        </is>
      </c>
      <c r="C18" s="15" t="inlineStr">
        <is>
          <t>T3 29/09</t>
        </is>
      </c>
      <c r="D18" s="15" t="inlineStr">
        <is>
          <t>Dev A</t>
        </is>
      </c>
      <c r="E18" s="5" t="inlineStr">
        <is>
          <t>UC023 — Node generate + postguard + chịu lỗi LLM</t>
        </is>
      </c>
      <c r="F18" s="6" t="inlineStr">
        <is>
          <t>ĐÃ CÓ: ai.ai_interactions đã có sẵn retrieval_top_score, groundedness_score (V209), is_cached (V209), prompt_tokens, completion_tokens, cost_vnd, latency_ms — lược đồ không phải sửa gì.
CHƯA CÓ: src/ai/integrations/llm/ rỗng; src/ai/rag/generate/ 1 dòng docstring.</t>
        </is>
      </c>
      <c r="G18" s="6" t="inlineStr">
        <is>
          <t>CODE: node generate dựng prompt 5 đoạn + gọi LLM API (ngân sách 2.500 ms trong tổng 4.000 ms).
CODE: node postguard kiểm MỌI trích dẫn có nằm trong đoạn đã lấy về, che PII, tính groundedness_score VÀ retrieval_top_score — HAI đại lượng khác nhau: cái sau đo đoạn có giống câu hỏi không, cái trước đo câu trả lời có thật sự dựa vào đoạn không. Truy hồi tốt mà mô hình vẫn bịa là trường hợp CÓ THẬT.
CODE: circuit breaker 3 trạng thái closed → open → half-open; retry 429 / 5xx / timeout, KHÔNG retry 400 / 401 / 422; breaker mở thì trả câu trả lời suy giảm kèm degraded=true thay vì ném lỗi ra người dùng.
CODE: nội dung truy hồi được là DỮ LIỆU KHÔNG ĐÁNG TIN (bề mặt T3) — không để nó chỉ thị được cho mô hình.</t>
        </is>
      </c>
      <c r="H18" s="6" t="inlineStr">
        <is>
          <t>Ảnh chụp endpoint chat trả đúng schema kèm latency_breakdown 9 tầng; bảng phân bố groundedness_score vs retrieval_top_score; unit test circuit breaker đủ 3 trạng thái.</t>
        </is>
      </c>
      <c r="I18" s="14" t="inlineStr">
        <is>
          <t>Chưa bắt đầu</t>
        </is>
      </c>
    </row>
    <row r="19" ht="165" customHeight="1">
      <c r="A19" s="15" t="inlineStr">
        <is>
          <t>Tuần 2</t>
        </is>
      </c>
      <c r="B19" s="15" t="inlineStr">
        <is>
          <t>Ngày 9</t>
        </is>
      </c>
      <c r="C19" s="15" t="inlineStr">
        <is>
          <t>T3 29/09</t>
        </is>
      </c>
      <c r="D19" s="15" t="inlineStr">
        <is>
          <t>Dev B</t>
        </is>
      </c>
      <c r="E19" s="5" t="inlineStr">
        <is>
          <t>UC030 (1/2) — Đặc trưng ghi QUA API + huấn luyện XGBoost hiệu chuẩn</t>
        </is>
      </c>
      <c r="F19" s="6" t="inlineStr">
        <is>
          <t>CHỐT QUAN TRỌNG (ADR-0016): bảng ai.lead_features KHÔNG TỒN TẠI và sẽ KHÔNG được tạo. Nhãn huấn luyện nằm ở sales.lead_scores của Track A (V113) — đã có sẵn tenant_id, contact_id, scored_at, features jsonb, score 0..100, model_version, top_factors, confidence. Thiếu rule_score / outcome / outcome_at, đã đề xuất Track A từ Ngày 1.</t>
        </is>
      </c>
      <c r="G19" s="6" t="inlineStr">
        <is>
          <t>CODE: feature builder GHI QUA API NỘI BỘ của java-core, TUYỆT ĐỐI KHÔNG ghi thẳng bảng sales.lead_scores (ADR-0002 — nối thẳng là biến mô hình ngôn ngữ thành đường vòng qua RLS). Đường gọi đặt ở src/ai/integrations/java_core/ theo docs/openapi/java-core-to-ai-service.yaml.
DATA: dùng public CRM dataset hoặc synthetic — LOẠI BỎ tư duy 'chờ dữ liệu thực tế'. Ghi rõ RANH GIỚI TRUNG THỰC trong báo cáo: đây là model tham chiếu về ĐƯỜNG ỐNG, không phải model dự báo chuyển đổi cho một doanh nghiệp cụ thể. Nói rõ điều này mạnh hơn nhiều so với công bố một chỉ số AUC đẹp mà không ai biết đến từ đâu.
CODE: huấn luyện CHIA THEO THỜI GIAN không chia ngẫu nhiên (chia ngẫu nhiên gây rò rỉ thời gian và PR-AUC đẹp giả tạo); CalibratedClassifierCV bọc XGBoost — nhân viên sales nhìn con số 0–100 nên nó phải có nghĩa; giữ rule_score làm đối chứng.</t>
        </is>
      </c>
      <c r="H19" s="6" t="inlineStr">
        <is>
          <t>PR-AUC + BRIER SCORE ghi vào MODEL_CARD; ĐƯỜNG CONG HIỆU CHUẨN trước/sau; so sánh model vs rule_score baseline; TUYÊN BỐ RANH GIỚI TRUNG THỰC của dữ liệu; ảnh chụp lời gọi API ghi điểm (chứng minh không ghi thẳng DB).</t>
        </is>
      </c>
      <c r="I19" s="14" t="inlineStr">
        <is>
          <t>Chưa bắt đầu</t>
        </is>
      </c>
    </row>
    <row r="20" ht="165" customHeight="1">
      <c r="A20" s="15" t="inlineStr">
        <is>
          <t>Tuần 2</t>
        </is>
      </c>
      <c r="B20" s="15" t="inlineStr">
        <is>
          <t>Ngày 10</t>
        </is>
      </c>
      <c r="C20" s="15" t="inlineStr">
        <is>
          <t>T4 30/09</t>
        </is>
      </c>
      <c r="D20" s="15" t="inlineStr">
        <is>
          <t>Dev A</t>
        </is>
      </c>
      <c r="E20" s="5" t="inlineStr">
        <is>
          <t>UC025 + UC027 — Từ chối khi thiếu căn cứ và đánh giá chất lượng</t>
        </is>
      </c>
      <c r="F20" s="6" t="inlineStr">
        <is>
          <t>ĐÃ CÓ: ai.ai_interactions có is_answered, refusal_reason, retrieval_top_score; safety_flag (V208); bảng ai.ai_feedback (V204) đã có rating, reason_code, rater_type và chỉ mục uq_feedback_rater.
LƯU Ý: danh sách khoảng trống tri thức là MỘT TRUY VẤN GỘP, không phải một bảng mới — đừng tạo bảng.</t>
        </is>
      </c>
      <c r="G20" s="6" t="inlineStr">
        <is>
          <t>CODE UC025: search_or_abstain — 4 lý do từ chối (chưa có trong tài liệu khi không đoạn nào vượt sàn 0,25; ngoài phạm vi dữ liệu; độ tin cậy thấp; dò tìm dữ liệu nội bộ → safety_flag). Ngưỡng bám nguồn không đạt thì HUỶ câu trả lời đã sinh và chuyển sang từ chối. Ngưỡng chọn từ đường cong hiệu chỉnh, có baseline 'không ngưỡng' để so.
DATA: 30 câu hỏi ngoài phạm vi.
CODE UC027: endpoint feedback; 4 mã lý do chê; ràng buộc chê thì bắt buộc chọn lý do; tín hiệu rẻ chạy 100% lượt (độ phủ trích dẫn, tỉ lệ từ chối, tỉ lệ suy giảm, tỉ lệ chuyển giao), LLM chấm điểm LẤY MẪU 5%; mẫu số tỉ lệ đánh giá tích cực tính trên SỐ LƯỢT CÓ ĐÁNH GIÁ, không trên tổng số lượt.</t>
        </is>
      </c>
      <c r="H20" s="6" t="inlineStr">
        <is>
          <t>30/30 câu ngoài phạm vi trả rỗng đúng; bảng 4 lý do từ chối × số ca; độ chính xác và độ phủ của hành vi từ chối so với baseline không ngưỡng; bảng 7 tín hiệu chất lượng × tần suất đo.</t>
        </is>
      </c>
      <c r="I20" s="14" t="inlineStr">
        <is>
          <t>Chưa bắt đầu</t>
        </is>
      </c>
    </row>
    <row r="21" ht="165" customHeight="1">
      <c r="A21" s="15" t="inlineStr">
        <is>
          <t>Tuần 2</t>
        </is>
      </c>
      <c r="B21" s="15" t="inlineStr">
        <is>
          <t>Ngày 10</t>
        </is>
      </c>
      <c r="C21" s="15" t="inlineStr">
        <is>
          <t>T4 30/09</t>
        </is>
      </c>
      <c r="D21" s="15" t="inlineStr">
        <is>
          <t>Dev B</t>
        </is>
      </c>
      <c r="E21" s="5" t="inlineStr">
        <is>
          <t>UC030 (2/2) — ONNX + API chấm điểm dưới 1 giây</t>
        </is>
      </c>
      <c r="F21" s="6" t="inlineStr">
        <is>
          <t>ĐÃ CÓ: ai-classify chạy thật từ Ngày 5; notebooks/requirements.txt đã có skl2onnx, shap.
RÀNG BUỘC: requirements/base.txt của ai-service KHÔNG ĐƯỢC có xgboost — CI sẽ đỏ.</t>
        </is>
      </c>
      <c r="G21" s="6" t="inlineStr">
        <is>
          <t>CODE: convert cả pipeline sang ONNX bằng skl2onnx (đăng ký shape calculator + converter cho XGBClassifier rồi convert cả pipeline một lần, không convert từng mảnh).
CODE: lead_scorer.meta.json ghi danh sách đặc trưng ĐÚNG THỨ TỰ — thứ tự cột là HỢP ĐỒNG, assert ở /ready theo bất biến 2 đã dựng Ngày 2. Lệch thứ tự cột không ném lỗi, chỉ cho ra điểm sai một cách yên lặng.
CODE: chạy trong ai-classify; endpoint lead-score trả điểm 0–100 (ràng buộc đã có ở tầng DB), 3 mức tin cậy (hạ xuống thấp khi thiếu đặc trưng bắt buộc), 3 mã lý do lấy từ SHAP.
TEST: parity ONNX vs sklearn; đo p95.</t>
        </is>
      </c>
      <c r="H21" s="6" t="inlineStr">
        <is>
          <t>PARITY ONNX vs SKLEARN LỆCH &lt; 1e-4; p95 lead-score &lt; 1.000 ms; biểu đồ SHAP top-10 đặc trưng; ảnh chụp /ready trả 503 khi meta.json lệch thứ tự cột; pip list của image ai-service KHÔNG có xgboost.</t>
        </is>
      </c>
      <c r="I21" s="14" t="inlineStr">
        <is>
          <t>Chưa bắt đầu</t>
        </is>
      </c>
    </row>
    <row r="22" ht="165" customHeight="1">
      <c r="A22" s="15" t="inlineStr">
        <is>
          <t>Tuần 2</t>
        </is>
      </c>
      <c r="B22" s="15" t="inlineStr">
        <is>
          <t>Ngày 11</t>
        </is>
      </c>
      <c r="C22" s="15" t="inlineStr">
        <is>
          <t>T5 01/10</t>
        </is>
      </c>
      <c r="D22" s="15" t="inlineStr">
        <is>
          <t>Dev A</t>
        </is>
      </c>
      <c r="E22" s="5" t="inlineStr">
        <is>
          <t>UC020 — Quản lý kho tri thức (duyệt, sửa, nạp lại, gỡ)</t>
        </is>
      </c>
      <c r="F22" s="6" t="inlineStr">
        <is>
          <t>ĐÃ CÓ: knowledge_documents có version + uq theo (tenant, title, version); knowledge_chunks có heading; extension pg_trgm và unaccent đã bật từ V201.</t>
        </is>
      </c>
      <c r="G22" s="6" t="inlineStr">
        <is>
          <t>CODE: danh sách tài liệu phân trang + lọc theo status/sourceType + tìm kiếm KHÔNG phân biệt hoa thường và KHÔNG phân biệt dấu (unaccent + pg_trgm).
CODE: xem chunk của một tài liệu — trả heading nhưng KHÔNG trả cột embedding (nặng và vô nghĩa với người đọc). PATCH siêu dữ liệu không đụng chỉ mục vector.
CODE: reindex — GIỮ NGUYÊN bản cũ tới khi bản mới nạp xong mới chuyển đổi, không có khoảng kho tri thức trống; DELETE — xoá đoạn TRƯỚC rồi mới chuyển ARCHIVED; nếu xoá vector thất bại thì KHÔNG đánh dấu đã lưu trữ (điểm 9 trong 'Mười một điểm cần chốt'). Reindex toàn tenant khi đổi embedding_model — bản API đầy đủ của script đã viết Ngày 7.
TEST: 404 cho tài liệu của tenant khác (không phân biệt được với 'không tồn tại' — đây là hành vi ĐÚNG); 409 khi tài liệu đang bận; 422 khi trùng ràng buộc title+version; 502 thì giữ nguyên trạng thái.</t>
        </is>
      </c>
      <c r="H22" s="6" t="inlineStr">
        <is>
          <t>Bảng 4 mã lỗi × phản hồi đúng; ảnh chụp tìm kiếm 'bao gia' khớp 'báo giá'; chứng minh 0 giây kho tri thức trống trong lúc reindex; nhật ký kiểm toán đủ 3 thao tác (sửa, reindex, gỡ).</t>
        </is>
      </c>
      <c r="I22" s="14" t="inlineStr">
        <is>
          <t>Chưa bắt đầu</t>
        </is>
      </c>
    </row>
    <row r="23" ht="165" customHeight="1">
      <c r="A23" s="15" t="inlineStr">
        <is>
          <t>Tuần 2</t>
        </is>
      </c>
      <c r="B23" s="15" t="inlineStr">
        <is>
          <t>Ngày 11</t>
        </is>
      </c>
      <c r="C23" s="15" t="inlineStr">
        <is>
          <t>T5 01/10</t>
        </is>
      </c>
      <c r="D23" s="15" t="inlineStr">
        <is>
          <t>Dev B</t>
        </is>
      </c>
      <c r="E23" s="5" t="inlineStr">
        <is>
          <t>UC029 — Trích xuất tín hiệu quan tâm bằng JSON Schema nghiêm ngặt</t>
        </is>
      </c>
      <c r="F23" s="6" t="inlineStr">
        <is>
          <t>ĐÃ CÓ: src/ai/schemas.py đã có Citation / AnswerRequest / AnswerResponse chạy được — thêm LeadSignal vào đây chứ không tạo file schema mới (schemas.py là FILE, không phải thư mục — ADR-0015).
KHUNG RỖNG: src/ai/extraction/ chỉ có docstring.</t>
        </is>
      </c>
      <c r="G23" s="6" t="inlineStr">
        <is>
          <t>DATA: 30 hội thoại test gán nhãn thủ công.
CODE: Pydantic LeadSignal với extra='forbid' — trường lạ gây LỖI chứ không bị bỏ qua: intent_level cold|warm|hot, budget_vnd ≥ 0, timeline_days 0–1095, company_size ≥ 1, contact_phone theo mẫu số Việt Nam, products tối đa 10, evidence 1–5 TRÍCH DẪN NGUYÊN VĂN bắt buộc — không có evidence thì trường tương ứng bị coi là bịa và bị loại ở bước validate.
CODE: VÒNG SỬA ĐÚNG MỘT LẦN — gửi lại đúng ValidationError cho LLM; lần hai vẫn hỏng thì bỏ và ghi telemetry. KHÔNG sửa bằng regex: vá bằng regex là biến lỗi ồn thành lỗi im.
RANH GIỚI: UC029 là văn bản → đặc trưng (LLM). UC030 là đặc trưng → điểm (XGBoost). Đừng để LLM chấm điểm.</t>
        </is>
      </c>
      <c r="H23" s="6" t="inlineStr">
        <is>
          <t>TỈ LỆ LỖI XÁC THỰC &lt; 2% trên 30 hội thoại; tỉ lệ cứu được nhờ vòng sửa một lần; bảng độ chính xác từng trường so với nhãn thủ công; sơ đồ ranh giới UC029 vs UC030.</t>
        </is>
      </c>
      <c r="I23" s="14" t="inlineStr">
        <is>
          <t>Chưa bắt đầu</t>
        </is>
      </c>
    </row>
    <row r="24" ht="165" customHeight="1">
      <c r="A24" s="15" t="inlineStr">
        <is>
          <t>Tuần 2</t>
        </is>
      </c>
      <c r="B24" s="15" t="inlineStr">
        <is>
          <t>Ngày 12</t>
        </is>
      </c>
      <c r="C24" s="15" t="inlineStr">
        <is>
          <t>T6 02/10</t>
        </is>
      </c>
      <c r="D24" s="15" t="inlineStr">
        <is>
          <t>Dev A</t>
        </is>
      </c>
      <c r="E24" s="5" t="inlineStr">
        <is>
          <t>UC026 + UC041 — Tóm tắt hội thoại và xoá dữ liệu cá nhân</t>
        </is>
      </c>
      <c r="F24" s="6" t="inlineStr">
        <is>
          <t>ĐÃ CÓ: Track A đã có sẵn summary_data, summary_trigger, summary_model_version trên conversations (V114) kèm ràng buộc ck_conv_summary_complete — ai-service ghi QUA API, không ghi thẳng.
LƯU Ý: không có ai.lead_features để xoá; phần đặc trưng lead xoá qua API trên sales.lead_scores.</t>
        </is>
      </c>
      <c r="G24" s="6" t="inlineStr">
        <is>
          <t>CODE UC026: worker nhận sự kiện hội thoại đóng, sinh tóm tắt 4 PHẦN BẮT BUỘC (nhu cầu chính, thông tin khách đã cung cấp, vấn đề chưa giải quyết, bước tiếp theo đề xuất); temperature = 0 để tái lập được; lưu jsonb; GHIM phiên bản model làm ẢNH CHỤP chứ không đọc tham chiếu — đổi model rồi đọc qua tham chiếu thì mọi bản tóm tắt cũ tự khai sai phiên bản.
CODE UC041: endpoint xoá dữ liệu cá nhân — xoá mọi chunk theo contact_id, xoá đặc trưng lead QUA API. Xoá hội thoại nguồn KHÔNG kéo theo xoá cơ hội tiềm năng (liên kết về rỗng, bản ghi vẫn còn) — yêu cầu của Nghị định 13/2023/NĐ-CP là xoá dữ liệu cá nhân, không phải xoá dấu vết kinh doanh.
MIGRATION: nếu cần chỉ mục bộ phận theo contact_id thì viết V210.</t>
        </is>
      </c>
      <c r="H24" s="6" t="inlineStr">
        <is>
          <t>4/4 phần tóm tắt xuất hiện trên 20 hội thoại mẫu; báo cáo xoá dữ liệu: số chunk + số dòng đặc trưng đã xoá cho một contact; chứng minh câu trả lời sinh SAU đó không còn trích dẫn dữ liệu đã xoá.</t>
        </is>
      </c>
      <c r="I24" s="14" t="inlineStr">
        <is>
          <t>Chưa bắt đầu</t>
        </is>
      </c>
    </row>
    <row r="25" ht="165" customHeight="1">
      <c r="A25" s="15" t="inlineStr">
        <is>
          <t>Tuần 2</t>
        </is>
      </c>
      <c r="B25" s="15" t="inlineStr">
        <is>
          <t>Ngày 12</t>
        </is>
      </c>
      <c r="C25" s="15" t="inlineStr">
        <is>
          <t>T6 02/10</t>
        </is>
      </c>
      <c r="D25" s="15" t="inlineStr">
        <is>
          <t>Dev B</t>
        </is>
      </c>
      <c r="E25" s="5" t="inlineStr">
        <is>
          <t>UC031 + UC014 — Tạo Lead tự động và chuyển giao nhân viên</t>
        </is>
      </c>
      <c r="F25" s="6" t="inlineStr">
        <is>
          <t>ĐÃ CÓ: Track A có sales.leads với source / source_conversation_id, tenants.lead_score_threshold, tenants.auto_lead_creation.
CẦN TRACK A: bảng engagement.handoff_events chưa tồn tại (điểm 4 trong 'Mười một điểm cần chốt') — hỏi Track A ngay đầu ngày, nếu chưa có thì ghi tạm vào ai_interactions và ghi nợ.</t>
        </is>
      </c>
      <c r="G25" s="6" t="inlineStr">
        <is>
          <t>CODE UC031: phát sự kiện khi điểm ≥ lead_score_threshold (mặc định 70). CHỐNG TRÙNG THEO MÃ SỰ KIỆN phải có SẴN TRƯỚC khi viết consumer đầu tiên, không phải thêm sau khi phát hiện dữ liệu nhân đôi — thiếu nó thì khách nhắn 3 hôm liên tiếp sinh 3 cơ hội trùng và phễu chuyển đổi bị thổi phồng ngay ở bậc đầu.
CODE: danh bạ đã có cơ hội ĐANG MỞ thì cập nhật thay vì tạo cái thứ hai (điểm 10 trong 'Mười một điểm cần chốt'); hai giá trị nguồn cơ hội (tự động / nhập tay) để vẽ hai phễu song song.
CODE UC014: node handoff với 8 lý do; 3 lý do KHÔNG tính vào chất lượng tác tử (khách yêu cầu, vượt hạn mức, cần duyệt thao tác ghi) — gộp chung thì tỉ lệ 'tác tử phải nhường người' bị đọc sai; chuyển giao kích hoạt bản tóm tắt UC026 với loại kích hoạt tương ứng.</t>
        </is>
      </c>
      <c r="H25" s="6" t="inlineStr">
        <is>
          <t>Test gọi 2 lần chỉ tạo 1 Lead (chứng minh idempotency); test khách nhắn 3 hôm liên tiếp chỉ sinh 1 cơ hội; unit test đủ 8 điều kiện handoff; bảng 8 lý do × có/không tính vào chất lượng tác tử.</t>
        </is>
      </c>
      <c r="I25" s="14" t="inlineStr">
        <is>
          <t>Chưa bắt đầu</t>
        </is>
      </c>
    </row>
    <row r="26" ht="165" customHeight="1">
      <c r="A26" s="15" t="inlineStr">
        <is>
          <t>Tuần 2</t>
        </is>
      </c>
      <c r="B26" s="15" t="inlineStr">
        <is>
          <t>Ngày 13</t>
        </is>
      </c>
      <c r="C26" s="15" t="inlineStr">
        <is>
          <t>T7 03/10</t>
        </is>
      </c>
      <c r="D26" s="15" t="inlineStr">
        <is>
          <t>Dev A</t>
        </is>
      </c>
      <c r="E26" s="5" t="inlineStr">
        <is>
          <t>Eval harness một lệnh + mở rộng bộ vàng</t>
        </is>
      </c>
      <c r="F26" s="6" t="inlineStr">
        <is>
          <t>ĐÃ CÓ: tests/eval/README.md (65 dòng) và configs/README.md (49 dòng) đặc tả rất kỹ định dạng JSONL; requirements/dev.txt đã có ranx.
CHƯA CÓ: tests/eval/configs/ không có file .yaml nào; tests/eval/reports/ chỉ có .gitkeep.</t>
        </is>
      </c>
      <c r="G26" s="6" t="inlineStr">
        <is>
          <t>DATA: MỞ RỘNG bộ vàng v1 (40–50 cặp, Ngày 6) lên ≥ 80 cặp. GIỮ NGUYÊN 40–50 cặp cũ để phần so sánh fine-tune vẫn dùng chung mẫu số; cặp mới chỉ dùng cho eval cuối. Đóng băng và ghi hash mới vào DATA_HASHES.txt, giữ nguyên hash cũ để so sánh lịch sử vẫn hợp lệ.
CODE: đóng gói eval harness thành MỘT LỆNH sinh ra toàn bộ bảng số liệu (recall@5, nDCG@5, độ phủ trích dẫn, tỉ lệ từ chối, p95 từng tầng) ở dạng CSV và PNG; mỗi cấu hình thí nghiệm một file trong tests/eval/configs/; ghim seed để tái lập. Một điểm Recall không kèm config là số không dùng được trong báo cáo.
LƯU Ý NGƯỠNG: §1.6 của Master Plan ghi recall@5 ≥ 0,85, .claude/rules/rag-eval.md ghi ≥ 0,80. Đã chốt theo §1.6 là 0,85 (xem sheet Chỉ số nghiệm thu) — đây là công cụ dùng lại ở Ngày 20.</t>
        </is>
      </c>
      <c r="H26" s="6" t="inlineStr">
        <is>
          <t>RECALL@5 ≥ 0,85 trên bộ vàng ≥ 80 cặp; ĐỘ PHỦ TRÍCH DẪN ≥ 0,80; TỔNG p95 BA SERVICE &lt; 480 ms (bảng tách 3 dòng classify / embed / rerank); CHỨNG MINH TÁI LẬP: chạy 2 lần ra cùng con số.</t>
        </is>
      </c>
      <c r="I26" s="14" t="inlineStr">
        <is>
          <t>Chưa bắt đầu</t>
        </is>
      </c>
    </row>
    <row r="27" ht="165" customHeight="1">
      <c r="A27" s="15" t="inlineStr">
        <is>
          <t>Tuần 2</t>
        </is>
      </c>
      <c r="B27" s="15" t="inlineStr">
        <is>
          <t>Ngày 13</t>
        </is>
      </c>
      <c r="C27" s="15" t="inlineStr">
        <is>
          <t>T7 03/10</t>
        </is>
      </c>
      <c r="D27" s="15" t="inlineStr">
        <is>
          <t>Dev B</t>
        </is>
      </c>
      <c r="E27" s="5" t="inlineStr">
        <is>
          <t>Kiểm thử sâu nhóm nghiệp vụ AI + gom test thành một lệnh</t>
        </is>
      </c>
      <c r="F27" s="6" t="inlineStr">
        <is>
          <t>ĐÃ CÓ: pytest đã cấu hình trong pyproject.toml (testpaths=['tests'], asyncio_mode='auto') — chạy được ngay, chỉ là tới Ngày 1 còn thu về 0 test.</t>
        </is>
      </c>
      <c r="G27" s="6" t="inlineStr">
        <is>
          <t>DATA: mở rộng tập test UC029 từ 30 lên 60 HỘI THOẠI gán nhãn thủ công; đo lại tỉ lệ lỗi xác thực và độ chính xác TỪNG TRƯỜNG trên tập lớn hơn — với tập 30, khoảng tin cậy rộng tới mức khó kết luận.
TEST UC030: đo p95 lead-score dưới 20 request đồng thời; kiểm chứng hạ mức tin cậy khi thiếu đặc trưng bắt buộc; kiểm chứng assert thứ tự cột ở /ready thật sự chặn khi meta.json lệch.
TEST UC031: gọi 2 lần chỉ tạo 1 Lead. TEST UC014: unit test đủ 8 điều kiện handoff, kiểm chứng 3 lý do không tính vào chất lượng tác tử được tách riêng.
CODE: gom toàn bộ test của Dev B thành MỘT LỆNH chạy, xuất pass/fail theo từng UC. Bộ hồi quy đầy đủ 17 UC vẫn hoãn (xem sheet Phạm vi cắt), nhưng gom phần của mình lại thì gần như miễn phí và làm ngày nghiệm thu rẻ đi nhiều.</t>
        </is>
      </c>
      <c r="H27" s="6" t="inlineStr">
        <is>
          <t>Bảng UC029 trên 60 hội thoại: tỉ lệ lỗi xác thực &lt; 2% + độ chính xác từng trường; p95 lead-score dưới tải; test idempotency 2 lần = 1 Lead; unit test 8/8 điều kiện handoff; một lệnh chạy hết test của Dev B.</t>
        </is>
      </c>
      <c r="I27" s="14" t="inlineStr">
        <is>
          <t>Chưa bắt đầu</t>
        </is>
      </c>
    </row>
    <row r="28" ht="165" customHeight="1">
      <c r="A28" s="15" t="inlineStr">
        <is>
          <t>Tuần 2</t>
        </is>
      </c>
      <c r="B28" s="15" t="inlineStr">
        <is>
          <t>Ngày 14</t>
        </is>
      </c>
      <c r="C28" s="15" t="inlineStr">
        <is>
          <t>CN 04/10</t>
        </is>
      </c>
      <c r="D28" s="15" t="inlineStr">
        <is>
          <t>Dev A</t>
        </is>
      </c>
      <c r="E28" s="5" t="inlineStr">
        <is>
          <t>MỐC M2 — Demo luồng chính end-to-end</t>
        </is>
      </c>
      <c r="F28" s="6" t="inlineStr">
        <is>
          <t>Điều kiện thoát M2: 17/17 UC có endpoint/worker chạy + 1 test luồng chính + 1 con số minh chứng; đã quay được demo luồng trả lời và luồng lead. TRƯỢT → cắt UC038 (Ngày 17) và dồn Ngày 15–16 sang hoàn thiện UC còn thiếu.</t>
        </is>
      </c>
      <c r="G28" s="6" t="inlineStr">
        <is>
          <t>Chạy end-to-end: khách gửi tin → guard → route → retrieve → generate → postguard → handoff → telemetry.
Quay video 3 luồng: (1) trả lời có trích dẫn; (2) từ chối khi thiếu căn cứ; (3) chuyển giao nhân viên.
Dựng biểu đồ latency_breakdown 9 tầng của một lượt thật, đặt cạnh bảng ngân sách §5.3 để thấy tầng nào đang ăn vào khoản dự phòng 900 ms.
VIẾT: phần báo cáo về UC020, UC023, UC025, UC026, UC027, UC041.</t>
        </is>
      </c>
      <c r="H28" s="6" t="inlineStr">
        <is>
          <t>VIDEO DEMO LUỒNG CHÍNH; biểu đồ latency_breakdown 9 tầng của một lượt thật; BẢNG ĐỐI CHIẾU 7 CHỈ SỐ §1.6 Ở MỐC GIỮA KỲ (ô nào chưa đo thì ghi 'chưa đo', không để trống).</t>
        </is>
      </c>
      <c r="I28" s="14" t="inlineStr">
        <is>
          <t>Chưa bắt đầu</t>
        </is>
      </c>
    </row>
    <row r="29" ht="165" customHeight="1">
      <c r="A29" s="15" t="inlineStr">
        <is>
          <t>Tuần 2</t>
        </is>
      </c>
      <c r="B29" s="15" t="inlineStr">
        <is>
          <t>Ngày 14</t>
        </is>
      </c>
      <c r="C29" s="15" t="inlineStr">
        <is>
          <t>CN 04/10</t>
        </is>
      </c>
      <c r="D29" s="15" t="inlineStr">
        <is>
          <t>Dev B</t>
        </is>
      </c>
      <c r="E29" s="5" t="inlineStr">
        <is>
          <t>[Tích hợp] Độ bền hệ thống + demo luồng nghiệp vụ</t>
        </is>
      </c>
      <c r="F29" s="6" t="inlineStr">
        <is>
          <t>ĐÃ CÓ: inference/compose.inference.yml có healthcheck /ready cho cả 3 service — ma trận suy giảm test được ngay.</t>
        </is>
      </c>
      <c r="G29" s="6" t="inlineStr">
        <is>
          <t>TEST ma trận suy giảm đủ 3 trường hợp: tắt ai-embed → sparse-only + degraded=true; tắt ai-rerank → bỏ rerank vẫn trả lời; tắt ai-classify → /ready trả 503. Không trường hợp nào được đẩy 5xx tới người dùng.
TEST Kafka: đủ số topic đã chốt Ngày 1 phát và tiêu thụ được; restart ai-service GIỮA LÚC đang chạy job index — job phải hoàn tất hoặc được nhận lại NGUYÊN VẸN, không mất và không xử lý nửa vời; consumer bắt SIGTERM rời group sạch; DLQ hoạt động.
Quay demo luồng nghiệp vụ: hội thoại → UC029 trích xuất → UC030 chấm điểm → UC031 tạo Lead tự động → UC014 chuyển giao, kèm một lượt ý định 'gọi công cụ' được định tuyến sang chuyển giao đúng lý do.
VIẾT: báo cáo Tuần 2.</t>
        </is>
      </c>
      <c r="H29" s="6" t="inlineStr">
        <is>
          <t>Bảng 3 kịch bản suy giảm × hành vi × có/không 5xx tới người dùng; mọi topic hoạt động; ảnh chụp consumer rời group sạch; VIDEO DEMO LUỒNG NGHIỆP VỤ; BÁO CÁO TUẦN 2 — tới đây 17/17 UC đã code xong.</t>
        </is>
      </c>
      <c r="I29" s="14" t="inlineStr">
        <is>
          <t>Chưa bắt đầu</t>
        </is>
      </c>
    </row>
    <row r="30" ht="165" customHeight="1">
      <c r="A30" s="14" t="inlineStr">
        <is>
          <t>Tuần 3</t>
        </is>
      </c>
      <c r="B30" s="14" t="inlineStr">
        <is>
          <t>Ngày 15</t>
        </is>
      </c>
      <c r="C30" s="14" t="inlineStr">
        <is>
          <t>T2 05/10</t>
        </is>
      </c>
      <c r="D30" s="14" t="inlineStr">
        <is>
          <t>Dev A</t>
        </is>
      </c>
      <c r="E30" s="7" t="inlineStr">
        <is>
          <t>Benchmark rút gọn + chốt cấp vCPU + ADR</t>
        </is>
      </c>
      <c r="F30" s="8" t="inlineStr">
        <is>
          <t>ĐÃ CÓ: inference/src/bench_cpu.py là khung rỗng (39 dòng docstring) — phải viết code thật trước khi chạy; compose.inference.yml đã ghim OMP_NUM_THREADS = cpus cho cả 3 service.</t>
        </is>
      </c>
      <c r="G30" s="8" t="inlineStr">
        <is>
          <t>CODE + TEST: viết bench_cpu.py rồi chạy bản rút gọn — 3 model (encoder S, encoder M, cross-encoder S) × 2 mức vCPU (2 và 4), CHẠY TỪNG SERVICE MỘT không song song (chạy song song thì các service tranh CPU và mọi con số đều vô nghĩa). Ma trận đầy đủ đã cắt — xem sheet 'Phạm vi cắt &amp; làm sau'.
Vẫn phải chứng minh được 2 điều: với model nhỏ, TĂNG vCPU KHÔNG cải thiện p95; và OMP_NUM_THREADS phải BẰNG số CPU được cấp, để mặc định thì ONNX Runtime đọc số CPU của node.
Chốt cấp vCPU (OMP_NUM_THREADS = limits.cpu, inter_op_num_threads = 1). Với model bị loại, ADR ghi rõ đã thử đòn bẩy nào và SỐ ĐO — một dòng 'quá chậm' không kèm bảng số là KHÔNG ĐỦ để loại một model trong báo cáo.</t>
        </is>
      </c>
      <c r="H30" s="8" t="inlineStr">
        <is>
          <t>Bảng benchmark rút gọn (model × vCPU × threads × p50 × p95 × RSS × đạt/không); bảng chênh lệch p95 khi ghim luồng và khi để mặc định; ADR chốt cấp vCPU cho 3 service.</t>
        </is>
      </c>
      <c r="I30" s="14" t="inlineStr">
        <is>
          <t>Chưa bắt đầu</t>
        </is>
      </c>
    </row>
    <row r="31" ht="165" customHeight="1">
      <c r="A31" s="14" t="inlineStr">
        <is>
          <t>Tuần 3</t>
        </is>
      </c>
      <c r="B31" s="14" t="inlineStr">
        <is>
          <t>Ngày 15</t>
        </is>
      </c>
      <c r="C31" s="14" t="inlineStr">
        <is>
          <t>T2 05/10</t>
        </is>
      </c>
      <c r="D31" s="14" t="inlineStr">
        <is>
          <t>Dev B</t>
        </is>
      </c>
      <c r="E31" s="7" t="inlineStr">
        <is>
          <t>UC039 — Telemetry và mô hình đọc báo cáo hiệu quả AI</t>
        </is>
      </c>
      <c r="F31" s="8" t="inlineStr">
        <is>
          <t>ĐÃ CÓ: node telemetry đã phát sự kiện từ Ngày 8.
CẦN TRACK A: bảng tổng hợp theo ngày nằm ở schema analytics (Track A) — ai-service KHÔNG ghi thẳng, chỉ phát sự kiện; consumer analytics-cg là việc của Track A. Xác nhận với Track A đầu ngày, nếu họ chưa làm thì ghi nợ và dựng mô hình đọc tạm từ ai.ai_interactions của mình.</t>
        </is>
      </c>
      <c r="G31" s="8" t="inlineStr">
        <is>
          <t>THIẾT KẾ: bảng tổng hợp theo ngày cần KHOÁ DUY NHẤT 5 CHIỀU (doanh nghiệp, ngày, kênh, nhánh, tên model) và BẮT BUỘC dùng NULLS NOT DISTINCT — chế độ mặc định coi mỗi NULL là khác nhau nên consumer chèn dòng mới mỗi lần chạy thay vì cộng dồn, số liệu phình dần mà KHÔNG CÓ GÌ BÁO.
cost_vnd lưu 4 CHỮ SỐ THẬP PHÂN — một lượt gọi model nhỏ hơn 1 đồng, làm tròn sớm là mất số liệu.
is_cached (đã có sẵn trên ai_interactions từ V209) tách lượt dùng đệm khỏi lượt lỗi và lượt bị chặn — cả ba đều có chi phí 0 nhưng phải đọc khác nhau.
7 giá trị nhánh khớp TỪNG CHỮ với ràng buộc đã có trong V204.</t>
        </is>
      </c>
      <c r="H31" s="8" t="inlineStr">
        <is>
          <t>7 CHỈ SỐ §1.6 QUERY ĐƯỢC TỪ DỮ LIỆU THẬT; bảng tổng hợp theo ngày mẫu; biểu đồ chi phí AI theo nhánh và theo model; biểu đồ tỉ lệ lượt không gọi LLM theo ngày (chỉ tiêu ≥ 55%).</t>
        </is>
      </c>
      <c r="I31" s="14" t="inlineStr">
        <is>
          <t>Chưa bắt đầu</t>
        </is>
      </c>
    </row>
    <row r="32" ht="165" customHeight="1">
      <c r="A32" s="14" t="inlineStr">
        <is>
          <t>Tuần 3</t>
        </is>
      </c>
      <c r="B32" s="14" t="inlineStr">
        <is>
          <t>Ngày 16</t>
        </is>
      </c>
      <c r="C32" s="14" t="inlineStr">
        <is>
          <t>T3 06/10</t>
        </is>
      </c>
      <c r="D32" s="14" t="inlineStr">
        <is>
          <t>Dev A</t>
        </is>
      </c>
      <c r="E32" s="7" t="inlineStr">
        <is>
          <t>Tối ưu độ trễ + bộ nhớ đệm ngữ nghĩa + GIẢM DUNG LƯỢNG IMAGE</t>
        </is>
      </c>
      <c r="F32" s="8" t="inlineStr">
        <is>
          <t>NỢ KỸ THUẬT ĐÃ GHI NHẬN (ADR-0015 mục 6): image ai-service đang 776 MB, ngưỡng &lt; 400 MB. Bóc tách: scipy+numpy+sklearn 252 MB (phụ thuộc gián tiếp của pyvi), pymupdf 63 MB, babel+zstandard 55 MB (phụ thuộc trafilatura). Cổng CI đã bật exit 1 từ Ngày 1 nên đây là việc BẮT BUỘC, không phải tuỳ chọn.</t>
        </is>
      </c>
      <c r="G32" s="8" t="inlineStr">
        <is>
          <t>CODE: giảm image xuống dưới 400 MB — tách layer worker, loại phụ thuộc chỉ dùng lúc build, cân nhắc thay trafilatura ở nhánh HTML. KHÔNG được bỏ pyvi (rag/tsquery cần ViTokenizer) và KHÔNG được import sklearn trong src/ để suy luận.
CODE: semantic cache trên Redis với KHOÁ BẮT BUỘC CÓ tenant_id — thiếu nó là rò rỉ dữ liệu giữa các doanh nghiệp, và đây là một trong 7 chỉ số nghiệm thu. Đánh dấu is_cached và KHÔNG tính chi phí gọi model; vô hiệu cache khi kho tri thức của tenant thay đổi.
Tối ưu theo số đo thật: ef_search, LIMIT hybrid, độ dài prompt, số đoạn vào lời nhắc. Các dòng ngân sách §5.3 PHÂN BỔ LẠI ĐƯỢC CHO NHAU, chỉ dòng TỔNG 4.000 ms là bất biến — embedding cần 200 ms thay vì 120 ms thì lấy từ khoản dự phòng 900 ms, KHÔNG loại model.</t>
        </is>
      </c>
      <c r="H32" s="8" t="inlineStr">
        <is>
          <t>DUNG LƯỢNG IMAGE ai-service &lt; 400 MB (CI xanh ở cổng dung lượng); bảng ngân sách §5.3 phiên bản ĐÃ PHÂN BỔ LẠI theo số đo thật, đặt cạnh bảng gốc; p95 end-to-end trước/sau tối ưu; tỉ lệ cache hit và mức giảm chi phí; test chứng minh hai tenant hỏi cùng câu nhận hai câu trả lời khác nhau.</t>
        </is>
      </c>
      <c r="I32" s="14" t="inlineStr">
        <is>
          <t>Chưa bắt đầu</t>
        </is>
      </c>
    </row>
    <row r="33" ht="165" customHeight="1">
      <c r="A33" s="14" t="inlineStr">
        <is>
          <t>Tuần 3</t>
        </is>
      </c>
      <c r="B33" s="14" t="inlineStr">
        <is>
          <t>Ngày 16</t>
        </is>
      </c>
      <c r="C33" s="14" t="inlineStr">
        <is>
          <t>T3 06/10</t>
        </is>
      </c>
      <c r="D33" s="14" t="inlineStr">
        <is>
          <t>Dev B</t>
        </is>
      </c>
      <c r="E33" s="7" t="inlineStr">
        <is>
          <t>UC040 + UC006 — Nhật ký kiểm toán và hạn mức sử dụng</t>
        </is>
      </c>
      <c r="F33" s="8" t="inlineStr">
        <is>
          <t>ĐÃ CÓ: ai_interactions.safety_flag + partial index ix_interaction_safety (V208) — nguồn cảnh báo an toàn của phạm vi này.
CẦN TRACK A: bảng platform.audit_logs là của Track A và đã phải REVOKE UPDATE, DELETE (chỉ-ghi-thêm). ai-service phát sự kiện kiểm toán, Track A ghi bảng.</t>
        </is>
      </c>
      <c r="G33" s="8" t="inlineStr">
        <is>
          <t>CODE UC040: 4 loại tác nhân, 3 mức nghiêm trọng, các loại sự kiện an toàn; kiểm toán thao tác kho tri thức (UC020) và xoá dữ liệu cá nhân (UC041).
HAI ĐIỂM KHÔNG ĐƯỢC BỎ: (1) che PII ở TẦNG GHI chứ không phải lúc hiển thị — che lúc hiển thị nghĩa là dữ liệu thật vẫn nằm trong bảng và ai đọc được bảng đều thấy; (2) THU HỒI cả quyền sửa lẫn xoá trên bảng kiểm toán — RLS không giúp gì ở đây, chỉ quyền mới chặn được việc xoá bằng chứng. Thời điểm cập nhật luôn bằng thời điểm tạo.
Trong phạm vi đồ án, nguồn cảnh báo an toàn là safety_flag. Viết hàm hợp nhất nguồn cảnh báo dưới dạng mở rộng được, để nếu sau này bổ sung nguồn thứ hai thì không phải sửa lược đồ (xem sheet 'Mở rộng sau đồ án').
CODE UC006: tổng token và chi phí AI theo chu kỳ; 4 hạn mức; ngưỡng cảnh báo 80%, chặn 100%; hội thoại là trục thu phí, tính MỘT LẦN dù kéo dài bao lâu.</t>
        </is>
      </c>
      <c r="H33" s="8" t="inlineStr">
        <is>
          <t>Ảnh chụp log KHÔNG chứa số điện thoại / email / nội dung tin nhắn thô (grep tự động, kết quả = 0); chứng minh quyền UPDATE và DELETE đã thu hồi trên bảng kiểm toán; bảng 4 hạn mức × ngưỡng cảnh báo/chặn.</t>
        </is>
      </c>
      <c r="I33" s="14" t="inlineStr">
        <is>
          <t>Chưa bắt đầu</t>
        </is>
      </c>
    </row>
    <row r="34" ht="165" customHeight="1">
      <c r="A34" s="14" t="inlineStr">
        <is>
          <t>Tuần 3</t>
        </is>
      </c>
      <c r="B34" s="14" t="inlineStr">
        <is>
          <t>Ngày 17</t>
        </is>
      </c>
      <c r="C34" s="14" t="inlineStr">
        <is>
          <t>T4 07/10</t>
        </is>
      </c>
      <c r="D34" s="14" t="inlineStr">
        <is>
          <t>Dev A</t>
        </is>
      </c>
      <c r="E34" s="7" t="inlineStr">
        <is>
          <t>Kiểm thử bảo mật phần dữ liệu (3/5 bài)</t>
        </is>
      </c>
      <c r="F34" s="8" t="inlineStr">
        <is>
          <t>ĐÃ CÓ: test_rls.py từ Ngày 1 đang chạy trong CI — ba bài hôm nay là mức cao hơn: tấn công qua ĐƯỜNG NGÔN NGỮ chứ không qua đường SQL.</t>
        </is>
      </c>
      <c r="G34" s="8" t="inlineStr">
        <is>
          <t>TEST (1) CÁCH LY TENANT QUA NGÔN NGỮ — hỏi tenant A một câu chỉ trả lời được bằng tài liệu của B thì phải TỪ CHỐI, không phải trả lời sai và cũng không phải trả lời đúng. Đây là bài quan trọng nhất: RLS chặn được truy vấn, nhưng chỉ bài này chứng minh mô hình không trở thành đường vòng qua RLS.
TEST (2) CÁCH LY CACHE — cùng một câu hỏi từ 2 tenant phải trả 2 câu trả lời từ 2 kho tri thức (kiểm chứng khoá cache của Ngày 16).
TEST (3) PII TRONG LOG — grep tự động tìm số điện thoại, email, nội dung tin nhắn thô trên TOÀN BỘ log.
Xác nhận ai-service kết nối CSDL bằng role ai_app (KHÔNG phải crm_owner — chủ bảng bypass RLS kể cả khi FORCE; dùng nhầm ở runtime là vô hiệu hoá toàn bộ cô lập tenant).</t>
        </is>
      </c>
      <c r="H34" s="8" t="inlineStr">
        <is>
          <t>3/3 bài đạt; ảnh chụp tenant A TỪ CHỐI đúng khi được hỏi về tài liệu của B; kết quả grep PII = 0; ảnh chụp SELECT current_user trả ai_app.</t>
        </is>
      </c>
      <c r="I34" s="14" t="inlineStr">
        <is>
          <t>Chưa bắt đầu</t>
        </is>
      </c>
    </row>
    <row r="35" ht="165" customHeight="1">
      <c r="A35" s="14" t="inlineStr">
        <is>
          <t>Tuần 3</t>
        </is>
      </c>
      <c r="B35" s="14" t="inlineStr">
        <is>
          <t>Ngày 17</t>
        </is>
      </c>
      <c r="C35" s="14" t="inlineStr">
        <is>
          <t>T4 07/10</t>
        </is>
      </c>
      <c r="D35" s="14" t="inlineStr">
        <is>
          <t>Dev B</t>
        </is>
      </c>
      <c r="E35" s="7" t="inlineStr">
        <is>
          <t>UC038 — Phân cụm chủ đề + kiểm thử bảo mật tầng suy luận (2/5 bài)</t>
        </is>
      </c>
      <c r="F35" s="8" t="inlineStr">
        <is>
          <t>ĐÃ CÓ: ai-embed chạy thật; notebooks/requirements.txt có scikit-learn (chạy Kaggle/thủ công, KHÔNG vào image ai-service).
KHUNG RỖNG: src/ai/clustering/ chỉ có 8 dòng docstring.</t>
        </is>
      </c>
      <c r="G35" s="8" t="inlineStr">
        <is>
          <t>CODE UC038: lấy embedding lượt đầu mỗi hội thoại trong 30 ngày → PCA giảm xuống 50 CHIỀU (K-Means kém trên vector hàng trăm chiều do lời nguyền số chiều) → K-Means k từ 5 đến 25 chọn theo silhouette → lấy 10 mẫu gần tâm nhờ LLM đặt tên chủ đề → ghi nhãn vào trường topic. Chạy RIÊNG TỪNG TENANT, bỏ qua tenant &lt; 200 hội thoại, GHIM random_state, chạy THỦ CÔNG một lần (bản CronJob đã hoãn — xem sheet Phạm vi cắt).
TEST bảo mật (4): PAYLOAD GỬI TỚI TẦNG SUY LUẬN KHÔNG CHỨA tenant_id, contact_id hay bất kỳ định danh nào — assert trên body request, ĐƯA VÀO CI. Tầng suy luận không cần biết nó đang phục vụ ai.
TEST bảo mật (5): BỘ ADVERSARIAL từ tests/eval/adversarial.jsonl (đã dựng Ngày 6) — chèn lệnh, dụ lộ prompt hệ thống, dụ trả lời ngoài phạm vi. Chạy trong môi trường cô lập với dữ liệu giả.</t>
        </is>
      </c>
      <c r="H35" s="8" t="inlineStr">
        <is>
          <t>Biểu đồ silhouette theo k và k đã chọn; BẢNG nhãn chủ đề × số hội thoại × TỈ LỆ TỪ CHỐI — cụm vừa lớn vừa có tỉ lệ từ chối ≥ 20% chính là LỖ HỔNG KHO TRI THỨC, đây là giá trị nghiệp vụ thật của UC038; assert payload không định danh chạy trong CI; ADVERSARIAL chặn ≥ 90%, báo nhầm &lt; 2%.</t>
        </is>
      </c>
      <c r="I35" s="14" t="inlineStr">
        <is>
          <t>Chưa bắt đầu</t>
        </is>
      </c>
    </row>
    <row r="36" ht="165" customHeight="1">
      <c r="A36" s="14" t="inlineStr">
        <is>
          <t>Tuần 3</t>
        </is>
      </c>
      <c r="B36" s="14" t="inlineStr">
        <is>
          <t>Ngày 18</t>
        </is>
      </c>
      <c r="C36" s="14" t="inlineStr">
        <is>
          <t>T5 08/10</t>
        </is>
      </c>
      <c r="D36" s="14" t="inlineStr">
        <is>
          <t>Dev A</t>
        </is>
      </c>
      <c r="E36" s="7" t="inlineStr">
        <is>
          <t>Triển khai gọn trên 1 instance cloud + nạp dữ liệu doanh nghiệp thật nếu xin được</t>
        </is>
      </c>
      <c r="F36" s="8" t="inlineStr">
        <is>
          <t>ĐÃ CÓ: 2 Dockerfile + inference/compose.inference.yml + docker-compose.yml gốc — đủ để dựng bản production gọn.
ĐÃ CẮT: cụm EKS 5 node group + ALB + HPA + PDB — xem sheet 'Phạm vi cắt &amp; làm sau'. inference/k8s/ hiện chỉ có .gitkeep.</t>
        </is>
      </c>
      <c r="G36" s="8" t="inlineStr">
        <is>
          <t>Deploy toàn bộ stack bằng docker compose kiểu production trên 1 instance cloud CPU: Nginx + TLS, biến môi trường tách khỏi repo (KHÔNG commit .env), healthcheck, restart policy, giới hạn cpus/mem đúng cấp model đã chốt Ngày 15.
Nạp dữ liệu test đa tenant; CHẠY LẠI test RLS trên môi trường triển khai — test xanh ở CI không thay thế được test xanh ở nơi thật sự chạy.
DỮ LIỆU THẬT: chuẩn đầu ra của đề tài ghi 'thử nghiệm với dữ liệu thực tế của ít nhất 1 doanh nghiệp'. Nhóm đang dùng dữ liệu tự soạn/công khai. HÔM NAY là chỗ cuối cùng còn kịp nạp dữ liệu doanh nghiệp thật nếu xin được — phải ẩn danh hoá trước (Nghị định 13/2023/NĐ-CP) và KHÔNG commit dữ liệu chưa ẩn danh. Không kịp thì ghi thẳng vào mục Hạn chế của báo cáo, đừng để người đọc tự phát hiện.</t>
        </is>
      </c>
      <c r="H36" s="8" t="inlineStr">
        <is>
          <t>Gọi được endpoint chat qua HTTPS từ Internet; 0 rò rỉ tenant trên môi trường triển khai; bảng cấu hình cpus/OMP_NUM_THREADS của 4 service khớp cấp model đã chốt; ghi rõ dữ liệu dùng để thử nghiệm là loại nào (thật đã ẩn danh / tự soạn / công khai).</t>
        </is>
      </c>
      <c r="I36" s="14" t="inlineStr">
        <is>
          <t>Chưa bắt đầu</t>
        </is>
      </c>
    </row>
    <row r="37" ht="165" customHeight="1">
      <c r="A37" s="14" t="inlineStr">
        <is>
          <t>Tuần 3</t>
        </is>
      </c>
      <c r="B37" s="14" t="inlineStr">
        <is>
          <t>Ngày 18</t>
        </is>
      </c>
      <c r="C37" s="14" t="inlineStr">
        <is>
          <t>T5 08/10</t>
        </is>
      </c>
      <c r="D37" s="14" t="inlineStr">
        <is>
          <t>Dev B</t>
        </is>
      </c>
      <c r="E37" s="7" t="inlineStr">
        <is>
          <t>Tích hợp với Track A — contract test hai chiều</t>
        </is>
      </c>
      <c r="F37" s="8" t="inlineStr">
        <is>
          <t>ĐÃ CÓ: docs/openapi/ai-service-to-java-core.yaml và java-core-to-ai-service.yaml đã điền đủ từ Ngày 1.
RỦI RO ĐÃ BIẾT: consumer analytics-cg của Track A chưa có; 13 màn C5 + SCR054 của dashboard vẫn chạy MSW. Xác nhận trạng thái với Track A đầu ngày.</t>
        </is>
      </c>
      <c r="G37" s="8" t="inlineStr">
        <is>
          <t>Contract test REST + Kafka HAI CHIỀU với java-core.
Kiểm chứng vòng phản hồi: java-core phát sự kiện khi deal đóng → ai-worker tiêu thụ → gọi API cập nhật ngược outcome trên sales.lead_scores. KHÔNG có vòng này thì model lead scoring không bao giờ học được từ thực tế. Chống trùng theo event_id phải có: ghi đè outcome_at bằng mốc muộn hơn làm hỏng phép chia theo thời gian.
Ghép với Frontend: hiển thị trích dẫn (heading + số trang), cờ handoff, trạng thái job index 6 bước.
Sửa lệch hợp đồng thì sửa HỢP ĐỒNG chứ không sửa code của người khác — ranh giới cứng giữa hai làn.</t>
        </is>
      </c>
      <c r="H37" s="8" t="inlineStr">
        <is>
          <t>Contract test xanh ở cả hai phía; danh sách lỗi giao tiếp × bên chịu trách nhiệm × trạng thái; video luồng end-to-end từ widget qua Gateway tới AI và ngược lại; ảnh chụp một dòng lead_scores có outcome đã được cập nhật ngược.</t>
        </is>
      </c>
      <c r="I37" s="14" t="inlineStr">
        <is>
          <t>Chưa bắt đầu</t>
        </is>
      </c>
    </row>
    <row r="38" ht="165" customHeight="1">
      <c r="A38" s="14" t="inlineStr">
        <is>
          <t>Tuần 3</t>
        </is>
      </c>
      <c r="B38" s="14" t="inlineStr">
        <is>
          <t>Ngày 19</t>
        </is>
      </c>
      <c r="C38" s="14" t="inlineStr">
        <is>
          <t>T6 09/10</t>
        </is>
      </c>
      <c r="D38" s="14" t="inlineStr">
        <is>
          <t>Dev A</t>
        </is>
      </c>
      <c r="E38" s="7" t="inlineStr">
        <is>
          <t>Load test rút gọn</t>
        </is>
      </c>
      <c r="F38" s="8" t="inlineStr">
        <is>
          <t>ĐÃ CẮT: đỉnh tải 150 người dùng và soak 4 giờ — xem sheet 'Phạm vi cắt &amp; làm sau'. Đỉnh tải 150u chỉ có nghĩa khi có autoscaling; trên một instance đơn nó chỉ làm bão hoà CPU và cho ra con số không diễn giải được.</t>
        </is>
      </c>
      <c r="G38" s="8" t="inlineStr">
        <is>
          <t>TEST: baseline 10 người dùng đồng thời trong 10 phút.
TEST: TẢI MỤC TIÊU 50 người dùng đồng thời trong 15 phút (bản đầy đủ là 30 phút) — đây là kịch bản QUYẾT ĐỊNH của chỉ số §1.6 đầu tiên.
Đo latency_breakdown 9 tầng DƯỚI TẢI (khác hẳn với đo lúc rảnh) và ghi đồ thị p95 theo thời gian.
Chỉ tiêu 'không tăng dần' quan trọng ngang giá trị tuyệt đối: p95 phẳng ở 3.200 ms tốt hơn nhiều so với p95 khởi đầu 1.800 ms rồi bò lên 5.000 ms.</t>
        </is>
      </c>
      <c r="H38" s="8" t="inlineStr">
        <is>
          <t>BASELINE: p95 &lt; 2.500 ms, lỗi 0%. TẢI MỤC TIÊU: p95 &lt; 4.000 ms, lỗi &lt; 1%, p95 KHÔNG TĂNG DẦN. Đồ thị p95 theo thời gian của cả hai kịch bản; bảng latency_breakdown trung bình dưới tải.</t>
        </is>
      </c>
      <c r="I38" s="14" t="inlineStr">
        <is>
          <t>Chưa bắt đầu</t>
        </is>
      </c>
    </row>
    <row r="39" ht="165" customHeight="1">
      <c r="A39" s="14" t="inlineStr">
        <is>
          <t>Tuần 3</t>
        </is>
      </c>
      <c r="B39" s="14" t="inlineStr">
        <is>
          <t>Ngày 19</t>
        </is>
      </c>
      <c r="C39" s="14" t="inlineStr">
        <is>
          <t>T6 09/10</t>
        </is>
      </c>
      <c r="D39" s="14" t="inlineStr">
        <is>
          <t>Dev B</t>
        </is>
      </c>
      <c r="E39" s="7" t="inlineStr">
        <is>
          <t>Soak rút gọn 1 giờ + kịch bản đứt kết nối + runbook</t>
        </is>
      </c>
      <c r="F39" s="8" t="inlineStr">
        <is>
          <t>ĐÃ CẮT: soak 4 giờ rút xuống 1 giờ. Soak dài chạy qua đêm gần như 0 giờ người — nếu còn thời gian thì cứ chạy thêm, chỉ là không phụ thuộc vào nó.</t>
        </is>
      </c>
      <c r="G39" s="8" t="inlineStr">
        <is>
          <t>TEST: soak 30 người dùng đồng thời trong 1 GIỜ — chỉ số quan trọng nhất KHÔNG phải giá trị p95 mà là ĐỘ DỐC của nó, và đồ thị RSS để chứng minh không rò bộ nhớ.
TEST: tắt ai-embed giữa lúc chạy tải → sparse-only, degraded=true, KHÔNG có 5xx tới người dùng; tắt ai-classify → /ready trả 503; restart có kiểm soát.
VIẾT runbook rút gọn 4 quy trình, mỗi quy trình phải ĐÃ CHẠY THẬT ít nhất một lần: deploy, rollback, reindex một tenant, đọc log theo trace_id (nhớ trace_id nằm ở header bản tin Kafka, không trong payload).</t>
        </is>
      </c>
      <c r="H39" s="8" t="inlineStr">
        <is>
          <t>Đồ thị p95 PHẲNG qua 1 giờ + đồ thị RSS chứng minh không rò bộ nhớ; bảng 2 kịch bản đứt kết nối × số 5xx (phải bằng 0); runbook 4 quy trình đã chạy thật.</t>
        </is>
      </c>
      <c r="I39" s="14" t="inlineStr">
        <is>
          <t>Chưa bắt đầu</t>
        </is>
      </c>
    </row>
    <row r="40" ht="165" customHeight="1">
      <c r="A40" s="14" t="inlineStr">
        <is>
          <t>Tuần 3</t>
        </is>
      </c>
      <c r="B40" s="14" t="inlineStr">
        <is>
          <t>Ngày 20</t>
        </is>
      </c>
      <c r="C40" s="14" t="inlineStr">
        <is>
          <t>T7 10/10</t>
        </is>
      </c>
      <c r="D40" s="14" t="inlineStr">
        <is>
          <t>Dev A</t>
        </is>
      </c>
      <c r="E40" s="7" t="inlineStr">
        <is>
          <t>[Nghiệm thu] Chạy lại toàn bộ bộ test và eval cuối</t>
        </is>
      </c>
      <c r="F40" s="8" t="inlineStr">
        <is>
          <t>Công cụ dùng lại: eval harness một lệnh đã đóng gói Ngày 13, test RLS từ Ngày 1, một lệnh test của Dev B từ Ngày 13.</t>
        </is>
      </c>
      <c r="G40" s="8" t="inlineStr">
        <is>
          <t>Chạy MỘT LƯỢT: CI đầy đủ (gồm cả cổng chặn ML runtime và cổng dung lượng image), test RLS, eval RAG bằng lệnh đóng gói Ngày 13, contract test.
Ghi kết quả có dấu thời gian làm bằng chứng cuối; xử lý mọi ca còn đỏ; điền phần Dev A của bảng chỉ số nghiệm thu.
Nguyên tắc: một ảnh chụp toàn bộ bộ test xanh TRONG MỘT LẦN CHẠY thuyết phục hơn mười ảnh chụp rời rạc chụp ở mười thời điểm khác nhau.</t>
        </is>
      </c>
      <c r="H40" s="8" t="inlineStr">
        <is>
          <t>Ảnh chụp toàn bộ bộ test xanh TRONG MỘT LẦN CHẠY có dấu thời gian — bằng chứng mạnh nhất cho buổi nghiệm thu; EVAL CUỐI: recall@5 ≥ 0,85, độ phủ trích dẫn ≥ 0,80, kèm file config đã dùng.</t>
        </is>
      </c>
      <c r="I40" s="14" t="inlineStr">
        <is>
          <t>Chưa bắt đầu</t>
        </is>
      </c>
    </row>
    <row r="41" ht="165" customHeight="1">
      <c r="A41" s="14" t="inlineStr">
        <is>
          <t>Tuần 3</t>
        </is>
      </c>
      <c r="B41" s="14" t="inlineStr">
        <is>
          <t>Ngày 20</t>
        </is>
      </c>
      <c r="C41" s="14" t="inlineStr">
        <is>
          <t>T7 10/10</t>
        </is>
      </c>
      <c r="D41" s="14" t="inlineStr">
        <is>
          <t>Dev B</t>
        </is>
      </c>
      <c r="E41" s="7" t="inlineStr">
        <is>
          <t>[Nghiệm thu] Bảy chỉ số §1.6 từ dữ liệu thật + gói bàn giao</t>
        </is>
      </c>
      <c r="F41" s="8" t="inlineStr">
        <is>
          <t>Nguồn số liệu: mô hình đọc UC039 dựng Ngày 15 chạy trên dữ liệu của môi trường triển khai Ngày 18.</t>
        </is>
      </c>
      <c r="G41" s="8" t="inlineStr">
        <is>
          <t>Chạy bộ truy vấn trên dữ liệu thật của môi trường triển khai; điền bảng 7 chỉ số §1.6. Với chỉ số chưa đạt, ghi rõ NGUYÊN NHÂN và PHƯƠNG ÁN ĐÃ THỬ — một ô trống đọc như một chỉ số bị giấu.
Ghi BẢNG PHẠM VI 17/17 UC hoàn thành, kèm sheet 'Mở rộng sau đồ án' làm phần hướng phát triển.
Soát gói bàn giao 7 hạng mục: mã nguồn, artifact ONNX + sha256 + MODEL_CARD, bảng benchmark, báo cáo hiệu năng, tài liệu kiến trúc + ADR, hợp đồng giao tiếp (OpenAPI + events), runbook.
Viết mục hướng phát triển: đã cắt gì và vì sao. Nói rõ mạnh hơn nhiều so với im lặng về phạm vi.</t>
        </is>
      </c>
      <c r="H41" s="8" t="inlineStr">
        <is>
          <t>BẢNG 7 CHỈ SỐ §1.6 × ngưỡng × giá trị đo được × đạt/chưa đạt — bảng quan trọng nhất của buổi nghiệm thu; checklist 7/7 hạng mục bàn giao; tài liệu hướng phát triển.</t>
        </is>
      </c>
      <c r="I41" s="14" t="inlineStr">
        <is>
          <t>Chưa bắt đầu</t>
        </is>
      </c>
    </row>
    <row r="42" ht="165" customHeight="1">
      <c r="A42" s="14" t="inlineStr">
        <is>
          <t>Tuần 3</t>
        </is>
      </c>
      <c r="B42" s="14" t="inlineStr">
        <is>
          <t>Ngày 21</t>
        </is>
      </c>
      <c r="C42" s="14" t="inlineStr">
        <is>
          <t>CN 11/10</t>
        </is>
      </c>
      <c r="D42" s="14" t="inlineStr">
        <is>
          <t>Dev A</t>
        </is>
      </c>
      <c r="E42" s="7" t="inlineStr">
        <is>
          <t>MỐC M3 — Báo cáo cuối + tài liệu kiến trúc + ADR</t>
        </is>
      </c>
      <c r="F42" s="8" t="inlineStr">
        <is>
          <t>ĐÃ CÓ: 17 ADR (0001–0016 + template). Các ADR sinh trong 21 ngày: ADR-0017 (4 quyết định hợp đồng, Ngày 1), ADR bỏ nhánh A router (Ngày 4), ADR chốt nhánh router (Ngày 5), ADR fine-tune ship hay rollback (Ngày 7), ADR cấp vCPU (Ngày 15), ADR bật/tắt rerank, ADR phạm vi.</t>
        </is>
      </c>
      <c r="G42" s="8" t="inlineStr">
        <is>
          <t>Ghép toàn bộ số liệu và biểu đồ vào báo cáo.
Hoàn thiện sổ ADR — mỗi mục có bối cảnh, lựa chọn, SỐ ĐO, hệ quả. ADR không có số đo thì chỉ là ý kiến.
Cập nhật ERD khớp migration cuối (V201–V209 + mọi V2xx thêm trong 21 ngày); vẽ sơ đồ kiến trúc hai tầng, sơ đồ tuần tự một lượt chat, sơ đồ máy trạng thái LangGraph 8 node.
Viết mục HẠN CHẾ TRUNG THỰC: model lead scoring huấn luyện trên dữ liệu public/synthetic là model tham chiếu về đường ống; chưa chạy trên cụm Kubernetes; chưa kiểm chứng ở đỉnh tải 150 người dùng; phần tích hợp hệ thống ngoài qua giao thức chuẩn nằm ở hướng phát triển. Nêu rõ ranh giới mạnh hơn nhiều so với công bố một chỉ số đẹp mà không ai biết đến từ đâu.</t>
        </is>
      </c>
      <c r="H42" s="8" t="inlineStr">
        <is>
          <t>BÁO CÁO CUỐI KỲ hoàn chỉnh; sổ ADR ≥ 7 mục mới, mỗi mục có số đo; ERD khớp 100% migration; BẢNG NGHIỆM THU 17/17 UC × trạng thái × số liệu minh chứng, kèm bảng hướng phát triển.</t>
        </is>
      </c>
      <c r="I42" s="14" t="inlineStr">
        <is>
          <t>Chưa bắt đầu</t>
        </is>
      </c>
    </row>
    <row r="43" ht="165" customHeight="1">
      <c r="A43" s="14" t="inlineStr">
        <is>
          <t>Tuần 3</t>
        </is>
      </c>
      <c r="B43" s="14" t="inlineStr">
        <is>
          <t>Ngày 21</t>
        </is>
      </c>
      <c r="C43" s="14" t="inlineStr">
        <is>
          <t>CN 11/10</t>
        </is>
      </c>
      <c r="D43" s="14" t="inlineStr">
        <is>
          <t>Dev B</t>
        </is>
      </c>
      <c r="E43" s="7" t="inlineStr">
        <is>
          <t>[Nghiệm thu] Video demo 17 Use Case + slide bảo vệ</t>
        </is>
      </c>
      <c r="F43" s="8" t="inlineStr">
        <is>
          <t>Nguồn: 2 video luồng đã quay ở Ngày 14, bổ sung phần Tuần 3.</t>
        </is>
      </c>
      <c r="G43" s="8" t="inlineStr">
        <is>
          <t>Ghép video theo 3 luồng: (1) KHO TRI THỨC — UC018 tải lên, UC019 nạp 6 bước, UC020 quản lý và reindex, UC041 xoá dữ liệu cá nhân; (2) HỎI ĐÁP — UC022 định tuyến 7 nhánh, UC023 trả lời có trích dẫn, UC025 từ chối khi thiếu căn cứ, UC026 tóm tắt, UC027 đánh giá, UC014 chuyển giao; (3) KINH DOANH VÀ VẬN HÀNH — UC029 trích xuất, UC030 chấm điểm, UC031 tạo Lead, UC038 thống kê chủ đề, UC039 báo cáo chi phí, UC040 kiểm toán, UC006 hạn mức. Mỗi UC phải hiện SỐ LIỆU thật trên màn hình, không chỉ hiện giao diện.
Slide bảo vệ bám theo: 3 quyết định kiến trúc lớn (hai tầng, hybrid RRF, không ghi thẳng CSDL nghiệp vụ), bảng 7 chỉ số §1.6, bảng 2 nhánh router, bảng fine-tune trước/sau, PHẠM VI 17 UC và hướng phát triển.
Chuẩn bị câu trả lời cho ba câu chắc chắn được hỏi: (a) dữ liệu thử nghiệm lấy từ đâu và ranh giới trung thực của nó; (b) vì sao chọn kiến trúc hai tầng; (c) làm sao chắc chắn doanh nghiệp A không đọc được dữ liệu của B.</t>
        </is>
      </c>
      <c r="H43" s="8" t="inlineStr">
        <is>
          <t>VIDEO DEMO đi qua ĐỦ 17 UC theo 3 luồng, mỗi UC kèm số liệu; bảng ánh xạ phút:giây → UC; bộ slide; danh sách câu hỏi khó đoán trước kèm câu trả lời CÓ SỐ LIỆU.</t>
        </is>
      </c>
      <c r="I43" s="14" t="inlineStr">
        <is>
          <t>Chưa bắt đầu</t>
        </is>
      </c>
    </row>
  </sheetData>
  <autoFilter ref="A1:I43"/>
  <dataValidations count="1">
    <dataValidation sqref="I2:I43" showDropDown="0" showInputMessage="0" showErrorMessage="0" allowBlank="1" type="list">
      <formula1>='Danh mục'!$A$2:$A$6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0" customWidth="1" min="1" max="1"/>
    <col width="40" customWidth="1" min="2" max="2"/>
    <col width="10" customWidth="1" min="3" max="3"/>
    <col width="16" customWidth="1" min="4" max="4"/>
    <col width="16" customWidth="1" min="5" max="5"/>
    <col width="10" customWidth="1" min="6" max="6"/>
    <col width="12" customWidth="1" min="7" max="7"/>
    <col width="52" customWidth="1" min="8" max="8"/>
  </cols>
  <sheetData>
    <row r="1" ht="26" customHeight="1">
      <c r="A1" s="2" t="inlineStr">
        <is>
          <t>PHÂN VAI 17 USE CASE — 2 NGƯỜI, 21 NGÀY (21/09 → 11/10/2026)</t>
        </is>
      </c>
    </row>
    <row r="2" ht="48" customHeight="1">
      <c r="A2" s="3" t="inlineStr">
        <is>
          <t>Dev A — Kho tri thức &amp; Trả lời (8 UC)  |  Dev B — Định tuyến, Nghiệp vụ &amp; Vận hành (9 UC). Chia theo RANH GIỚI MÃ NGUỒN để hai người gần như không sửa cùng một file. Ba use case về tích hợp hệ thống ngoài qua giao thức chuẩn nằm ở sheet 'Mở rộng sau đồ án' — đề tài được duyệt không yêu cầu chúng.</t>
        </is>
      </c>
    </row>
    <row r="4" ht="30" customHeight="1">
      <c r="A4" s="4" t="inlineStr">
        <is>
          <t>UC</t>
        </is>
      </c>
      <c r="B4" s="4" t="inlineStr">
        <is>
          <t>Tên use case</t>
        </is>
      </c>
      <c r="C4" s="4" t="inlineStr">
        <is>
          <t>Nhóm</t>
        </is>
      </c>
      <c r="D4" s="4" t="inlineStr">
        <is>
          <t>Mức sở hữu (đặc tả)</t>
        </is>
      </c>
      <c r="E4" s="4" t="inlineStr">
        <is>
          <t>Người phụ trách</t>
        </is>
      </c>
      <c r="F4" s="4" t="inlineStr">
        <is>
          <t>Tuần</t>
        </is>
      </c>
      <c r="G4" s="4" t="inlineStr">
        <is>
          <t>Ngày</t>
        </is>
      </c>
      <c r="H4" s="4" t="inlineStr">
        <is>
          <t>Phụ thuộc trước đó</t>
        </is>
      </c>
    </row>
    <row r="5" ht="32" customHeight="1">
      <c r="A5" s="16" t="inlineStr">
        <is>
          <t>UC006</t>
        </is>
      </c>
      <c r="B5" s="6" t="inlineStr">
        <is>
          <t>Theo dõi hạn mức sử dụng</t>
        </is>
      </c>
      <c r="C5" s="15" t="inlineStr">
        <is>
          <t>Nhóm A</t>
        </is>
      </c>
      <c r="D5" s="15" t="inlineStr">
        <is>
          <t>CHIA</t>
        </is>
      </c>
      <c r="E5" s="15" t="inlineStr">
        <is>
          <t>Dev B</t>
        </is>
      </c>
      <c r="F5" s="15" t="inlineStr">
        <is>
          <t>Tuần 3</t>
        </is>
      </c>
      <c r="G5" s="15" t="inlineStr">
        <is>
          <t>Ngày 16</t>
        </is>
      </c>
      <c r="H5" s="6" t="inlineStr">
        <is>
          <t>UC039</t>
        </is>
      </c>
    </row>
    <row r="6" ht="32" customHeight="1">
      <c r="A6" s="16" t="inlineStr">
        <is>
          <t>UC014</t>
        </is>
      </c>
      <c r="B6" s="6" t="inlineStr">
        <is>
          <t>Chuyển giao hội thoại sang nhân viên</t>
        </is>
      </c>
      <c r="C6" s="15" t="inlineStr">
        <is>
          <t>Nhóm B</t>
        </is>
      </c>
      <c r="D6" s="15" t="inlineStr">
        <is>
          <t>CHIA</t>
        </is>
      </c>
      <c r="E6" s="15" t="inlineStr">
        <is>
          <t>Dev B</t>
        </is>
      </c>
      <c r="F6" s="15" t="inlineStr">
        <is>
          <t>Tuần 2</t>
        </is>
      </c>
      <c r="G6" s="15" t="inlineStr">
        <is>
          <t>Ngày 12</t>
        </is>
      </c>
      <c r="H6" s="6" t="inlineStr">
        <is>
          <t>UC022, UC025; cần bảng handoff_events của Track A</t>
        </is>
      </c>
    </row>
    <row r="7" ht="32" customHeight="1">
      <c r="A7" s="17" t="inlineStr">
        <is>
          <t>UC018</t>
        </is>
      </c>
      <c r="B7" s="13" t="inlineStr">
        <is>
          <t>Tải lên tài liệu tri thức</t>
        </is>
      </c>
      <c r="C7" s="11" t="inlineStr">
        <is>
          <t>Nhóm C</t>
        </is>
      </c>
      <c r="D7" s="11" t="inlineStr">
        <is>
          <t>CHIA</t>
        </is>
      </c>
      <c r="E7" s="11" t="inlineStr">
        <is>
          <t>Dev A</t>
        </is>
      </c>
      <c r="F7" s="11" t="inlineStr">
        <is>
          <t>Tuần 1</t>
        </is>
      </c>
      <c r="G7" s="11" t="inlineStr">
        <is>
          <t>Ngày 3</t>
        </is>
      </c>
      <c r="H7" s="13" t="inlineStr">
        <is>
          <t>CSDL chạy thật (Ngày 1)</t>
        </is>
      </c>
    </row>
    <row r="8" ht="32" customHeight="1">
      <c r="A8" s="17" t="inlineStr">
        <is>
          <t>UC019</t>
        </is>
      </c>
      <c r="B8" s="13" t="inlineStr">
        <is>
          <t>Nạp và lập chỉ mục tài liệu</t>
        </is>
      </c>
      <c r="C8" s="11" t="inlineStr">
        <is>
          <t>Nhóm C</t>
        </is>
      </c>
      <c r="D8" s="11" t="inlineStr">
        <is>
          <t>AI toàn bộ</t>
        </is>
      </c>
      <c r="E8" s="11" t="inlineStr">
        <is>
          <t>Dev A</t>
        </is>
      </c>
      <c r="F8" s="11" t="inlineStr">
        <is>
          <t>Tuần 1</t>
        </is>
      </c>
      <c r="G8" s="11" t="inlineStr">
        <is>
          <t>Ngày 4–5</t>
        </is>
      </c>
      <c r="H8" s="13" t="inlineStr">
        <is>
          <t>UC018, encoder ONNX (Ngày 2)</t>
        </is>
      </c>
    </row>
    <row r="9" ht="32" customHeight="1">
      <c r="A9" s="17" t="inlineStr">
        <is>
          <t>UC020</t>
        </is>
      </c>
      <c r="B9" s="13" t="inlineStr">
        <is>
          <t>Quản lý kho tri thức</t>
        </is>
      </c>
      <c r="C9" s="11" t="inlineStr">
        <is>
          <t>Nhóm C</t>
        </is>
      </c>
      <c r="D9" s="11" t="inlineStr">
        <is>
          <t>CHIA</t>
        </is>
      </c>
      <c r="E9" s="11" t="inlineStr">
        <is>
          <t>Dev A</t>
        </is>
      </c>
      <c r="F9" s="11" t="inlineStr">
        <is>
          <t>Tuần 2</t>
        </is>
      </c>
      <c r="G9" s="11" t="inlineStr">
        <is>
          <t>Ngày 11</t>
        </is>
      </c>
      <c r="H9" s="13" t="inlineStr">
        <is>
          <t>UC019</t>
        </is>
      </c>
    </row>
    <row r="10" ht="32" customHeight="1">
      <c r="A10" s="16" t="inlineStr">
        <is>
          <t>UC022</t>
        </is>
      </c>
      <c r="B10" s="6" t="inlineStr">
        <is>
          <t>Phân loại ý định và định tuyến</t>
        </is>
      </c>
      <c r="C10" s="15" t="inlineStr">
        <is>
          <t>Nhóm D</t>
        </is>
      </c>
      <c r="D10" s="15" t="inlineStr">
        <is>
          <t>AI toàn bộ</t>
        </is>
      </c>
      <c r="E10" s="15" t="inlineStr">
        <is>
          <t>Dev B</t>
        </is>
      </c>
      <c r="F10" s="15" t="inlineStr">
        <is>
          <t>Tuần 1</t>
        </is>
      </c>
      <c r="G10" s="15" t="inlineStr">
        <is>
          <t>Ngày 3–6</t>
        </is>
      </c>
      <c r="H10" s="6" t="inlineStr">
        <is>
          <t>Tập test người thật (Ngày 2)</t>
        </is>
      </c>
    </row>
    <row r="11" ht="32" customHeight="1">
      <c r="A11" s="17" t="inlineStr">
        <is>
          <t>UC023</t>
        </is>
      </c>
      <c r="B11" s="13" t="inlineStr">
        <is>
          <t>Trả lời dựa trên tri thức doanh nghiệp</t>
        </is>
      </c>
      <c r="C11" s="11" t="inlineStr">
        <is>
          <t>Nhóm D</t>
        </is>
      </c>
      <c r="D11" s="11" t="inlineStr">
        <is>
          <t>AI toàn bộ</t>
        </is>
      </c>
      <c r="E11" s="11" t="inlineStr">
        <is>
          <t>Dev A</t>
        </is>
      </c>
      <c r="F11" s="11" t="inlineStr">
        <is>
          <t>Tuần 2</t>
        </is>
      </c>
      <c r="G11" s="11" t="inlineStr">
        <is>
          <t>Ngày 9</t>
        </is>
      </c>
      <c r="H11" s="13" t="inlineStr">
        <is>
          <t>UC019, Hybrid Search (Ngày 6), UC022, LangGraph (Ngày 8)</t>
        </is>
      </c>
    </row>
    <row r="12" ht="32" customHeight="1">
      <c r="A12" s="17" t="inlineStr">
        <is>
          <t>UC025</t>
        </is>
      </c>
      <c r="B12" s="13" t="inlineStr">
        <is>
          <t>Từ chối khi không đủ căn cứ</t>
        </is>
      </c>
      <c r="C12" s="11" t="inlineStr">
        <is>
          <t>Nhóm D</t>
        </is>
      </c>
      <c r="D12" s="11" t="inlineStr">
        <is>
          <t>AI toàn bộ</t>
        </is>
      </c>
      <c r="E12" s="11" t="inlineStr">
        <is>
          <t>Dev A</t>
        </is>
      </c>
      <c r="F12" s="11" t="inlineStr">
        <is>
          <t>Tuần 2</t>
        </is>
      </c>
      <c r="G12" s="11" t="inlineStr">
        <is>
          <t>Ngày 10</t>
        </is>
      </c>
      <c r="H12" s="13" t="inlineStr">
        <is>
          <t>UC023</t>
        </is>
      </c>
    </row>
    <row r="13" ht="32" customHeight="1">
      <c r="A13" s="17" t="inlineStr">
        <is>
          <t>UC026</t>
        </is>
      </c>
      <c r="B13" s="13" t="inlineStr">
        <is>
          <t>Tóm tắt nội dung hội thoại</t>
        </is>
      </c>
      <c r="C13" s="11" t="inlineStr">
        <is>
          <t>Nhóm D</t>
        </is>
      </c>
      <c r="D13" s="11" t="inlineStr">
        <is>
          <t>AI toàn bộ</t>
        </is>
      </c>
      <c r="E13" s="11" t="inlineStr">
        <is>
          <t>Dev A</t>
        </is>
      </c>
      <c r="F13" s="11" t="inlineStr">
        <is>
          <t>Tuần 2</t>
        </is>
      </c>
      <c r="G13" s="11" t="inlineStr">
        <is>
          <t>Ngày 12</t>
        </is>
      </c>
      <c r="H13" s="13" t="inlineStr">
        <is>
          <t>Worker Kafka (Ngày 5)</t>
        </is>
      </c>
    </row>
    <row r="14" ht="32" customHeight="1">
      <c r="A14" s="17" t="inlineStr">
        <is>
          <t>UC027</t>
        </is>
      </c>
      <c r="B14" s="13" t="inlineStr">
        <is>
          <t>Đánh giá chất lượng câu trả lời</t>
        </is>
      </c>
      <c r="C14" s="11" t="inlineStr">
        <is>
          <t>Nhóm D</t>
        </is>
      </c>
      <c r="D14" s="11" t="inlineStr">
        <is>
          <t>CHIA</t>
        </is>
      </c>
      <c r="E14" s="11" t="inlineStr">
        <is>
          <t>Dev A</t>
        </is>
      </c>
      <c r="F14" s="11" t="inlineStr">
        <is>
          <t>Tuần 2</t>
        </is>
      </c>
      <c r="G14" s="11" t="inlineStr">
        <is>
          <t>Ngày 10</t>
        </is>
      </c>
      <c r="H14" s="13" t="inlineStr">
        <is>
          <t>UC023, UC039</t>
        </is>
      </c>
    </row>
    <row r="15" ht="32" customHeight="1">
      <c r="A15" s="16" t="inlineStr">
        <is>
          <t>UC029</t>
        </is>
      </c>
      <c r="B15" s="6" t="inlineStr">
        <is>
          <t>Trích xuất tín hiệu quan tâm</t>
        </is>
      </c>
      <c r="C15" s="15" t="inlineStr">
        <is>
          <t>Nhóm E</t>
        </is>
      </c>
      <c r="D15" s="15" t="inlineStr">
        <is>
          <t>AI toàn bộ</t>
        </is>
      </c>
      <c r="E15" s="15" t="inlineStr">
        <is>
          <t>Dev B</t>
        </is>
      </c>
      <c r="F15" s="15" t="inlineStr">
        <is>
          <t>Tuần 2</t>
        </is>
      </c>
      <c r="G15" s="15" t="inlineStr">
        <is>
          <t>Ngày 11</t>
        </is>
      </c>
      <c r="H15" s="6" t="inlineStr">
        <is>
          <t>Node generate (Ngày 9)</t>
        </is>
      </c>
    </row>
    <row r="16" ht="32" customHeight="1">
      <c r="A16" s="16" t="inlineStr">
        <is>
          <t>UC030</t>
        </is>
      </c>
      <c r="B16" s="6" t="inlineStr">
        <is>
          <t>Chấm điểm khách hàng tiềm năng</t>
        </is>
      </c>
      <c r="C16" s="15" t="inlineStr">
        <is>
          <t>Nhóm E</t>
        </is>
      </c>
      <c r="D16" s="15" t="inlineStr">
        <is>
          <t>AI toàn bộ</t>
        </is>
      </c>
      <c r="E16" s="15" t="inlineStr">
        <is>
          <t>Dev B</t>
        </is>
      </c>
      <c r="F16" s="15" t="inlineStr">
        <is>
          <t>Tuần 2</t>
        </is>
      </c>
      <c r="G16" s="15" t="inlineStr">
        <is>
          <t>Ngày 9–10</t>
        </is>
      </c>
      <c r="H16" s="6" t="inlineStr">
        <is>
          <t>UC029; 3 cột mới trên sales.lead_scores (Track A)</t>
        </is>
      </c>
    </row>
    <row r="17" ht="32" customHeight="1">
      <c r="A17" s="16" t="inlineStr">
        <is>
          <t>UC031</t>
        </is>
      </c>
      <c r="B17" s="6" t="inlineStr">
        <is>
          <t>Tự động tạo cơ hội tiềm năng</t>
        </is>
      </c>
      <c r="C17" s="15" t="inlineStr">
        <is>
          <t>Nhóm E</t>
        </is>
      </c>
      <c r="D17" s="15" t="inlineStr">
        <is>
          <t>CHIA</t>
        </is>
      </c>
      <c r="E17" s="15" t="inlineStr">
        <is>
          <t>Dev B</t>
        </is>
      </c>
      <c r="F17" s="15" t="inlineStr">
        <is>
          <t>Tuần 2</t>
        </is>
      </c>
      <c r="G17" s="15" t="inlineStr">
        <is>
          <t>Ngày 12</t>
        </is>
      </c>
      <c r="H17" s="6" t="inlineStr">
        <is>
          <t>UC030</t>
        </is>
      </c>
    </row>
    <row r="18" ht="32" customHeight="1">
      <c r="A18" s="16" t="inlineStr">
        <is>
          <t>UC038</t>
        </is>
      </c>
      <c r="B18" s="6" t="inlineStr">
        <is>
          <t>Thống kê chủ đề hội thoại</t>
        </is>
      </c>
      <c r="C18" s="15" t="inlineStr">
        <is>
          <t>Nhóm F</t>
        </is>
      </c>
      <c r="D18" s="15" t="inlineStr">
        <is>
          <t>CHIA</t>
        </is>
      </c>
      <c r="E18" s="15" t="inlineStr">
        <is>
          <t>Dev B</t>
        </is>
      </c>
      <c r="F18" s="15" t="inlineStr">
        <is>
          <t>Tuần 3</t>
        </is>
      </c>
      <c r="G18" s="15" t="inlineStr">
        <is>
          <t>Ngày 17</t>
        </is>
      </c>
      <c r="H18" s="6" t="inlineStr">
        <is>
          <t>ai-embed, UC039</t>
        </is>
      </c>
    </row>
    <row r="19" ht="32" customHeight="1">
      <c r="A19" s="16" t="inlineStr">
        <is>
          <t>UC039</t>
        </is>
      </c>
      <c r="B19" s="6" t="inlineStr">
        <is>
          <t>Báo cáo hiệu quả và chi phí AI</t>
        </is>
      </c>
      <c r="C19" s="15" t="inlineStr">
        <is>
          <t>Nhóm F</t>
        </is>
      </c>
      <c r="D19" s="15" t="inlineStr">
        <is>
          <t>CHIA</t>
        </is>
      </c>
      <c r="E19" s="15" t="inlineStr">
        <is>
          <t>Dev B</t>
        </is>
      </c>
      <c r="F19" s="15" t="inlineStr">
        <is>
          <t>Tuần 2–3</t>
        </is>
      </c>
      <c r="G19" s="15" t="inlineStr">
        <is>
          <t>Ngày 8, 15</t>
        </is>
      </c>
      <c r="H19" s="6" t="inlineStr">
        <is>
          <t>Node telemetry (Ngày 8)</t>
        </is>
      </c>
    </row>
    <row r="20" ht="32" customHeight="1">
      <c r="A20" s="16" t="inlineStr">
        <is>
          <t>UC040</t>
        </is>
      </c>
      <c r="B20" s="6" t="inlineStr">
        <is>
          <t>Nhật ký kiểm toán</t>
        </is>
      </c>
      <c r="C20" s="15" t="inlineStr">
        <is>
          <t>Nhóm F</t>
        </is>
      </c>
      <c r="D20" s="15" t="inlineStr">
        <is>
          <t>CHIA</t>
        </is>
      </c>
      <c r="E20" s="15" t="inlineStr">
        <is>
          <t>Dev B</t>
        </is>
      </c>
      <c r="F20" s="15" t="inlineStr">
        <is>
          <t>Tuần 3</t>
        </is>
      </c>
      <c r="G20" s="15" t="inlineStr">
        <is>
          <t>Ngày 16</t>
        </is>
      </c>
      <c r="H20" s="6" t="inlineStr">
        <is>
          <t>UC020, UC041; bảng audit_logs của Track A</t>
        </is>
      </c>
    </row>
    <row r="21" ht="32" customHeight="1">
      <c r="A21" s="17" t="inlineStr">
        <is>
          <t>UC041</t>
        </is>
      </c>
      <c r="B21" s="13" t="inlineStr">
        <is>
          <t>Xử lý yêu cầu xoá dữ liệu cá nhân</t>
        </is>
      </c>
      <c r="C21" s="11" t="inlineStr">
        <is>
          <t>Nhóm F</t>
        </is>
      </c>
      <c r="D21" s="11" t="inlineStr">
        <is>
          <t>CHIA</t>
        </is>
      </c>
      <c r="E21" s="11" t="inlineStr">
        <is>
          <t>Dev A</t>
        </is>
      </c>
      <c r="F21" s="11" t="inlineStr">
        <is>
          <t>Tuần 2</t>
        </is>
      </c>
      <c r="G21" s="11" t="inlineStr">
        <is>
          <t>Ngày 12</t>
        </is>
      </c>
      <c r="H21" s="13" t="inlineStr">
        <is>
          <t>UC019 (chunk), UC030 (đặc trưng lead)</t>
        </is>
      </c>
    </row>
    <row r="23">
      <c r="B23" s="1" t="inlineStr">
        <is>
          <t>Số UC do Dev A phụ trách</t>
        </is>
      </c>
      <c r="C23" s="18" t="n">
        <v>8</v>
      </c>
    </row>
    <row r="24">
      <c r="B24" s="1" t="inlineStr">
        <is>
          <t>Số UC do Dev B phụ trách</t>
        </is>
      </c>
      <c r="C24" s="18" t="n">
        <v>9</v>
      </c>
    </row>
    <row r="25">
      <c r="B25" s="1" t="inlineStr">
        <is>
          <t>Số UC làm trong 21 ngày</t>
        </is>
      </c>
      <c r="C25" s="18" t="n">
        <v>17</v>
      </c>
    </row>
    <row r="26">
      <c r="B26" s="1" t="inlineStr">
        <is>
          <t>Số UC chuyển sang sheet 'Mở rộng sau đồ án'</t>
        </is>
      </c>
      <c r="C26" s="18" t="n">
        <v>3</v>
      </c>
    </row>
    <row r="27">
      <c r="B27" s="1" t="inlineStr">
        <is>
          <t>Tổng số Use Case module AI theo đặc tả</t>
        </is>
      </c>
      <c r="C27" s="18" t="n">
        <v>20</v>
      </c>
    </row>
    <row r="29" ht="24" customHeight="1">
      <c r="A29" s="2" t="inlineStr">
        <is>
          <t>RANH GIỚI MÃ NGUỒN — THEO CÂY src/ THẬT SAU ADR-0015, ĐƯA THẲNG VÀO .github/CODEOWNERS</t>
        </is>
      </c>
    </row>
    <row r="30" ht="30" customHeight="1">
      <c r="A30" s="4" t="inlineStr">
        <is>
          <t>Chủ sở hữu</t>
        </is>
      </c>
      <c r="B30" s="4" t="inlineStr">
        <is>
          <t>Đường dẫn</t>
        </is>
      </c>
      <c r="C30" s="4" t="inlineStr">
        <is>
          <t>Nội dung</t>
        </is>
      </c>
      <c r="D30" s="4" t="inlineStr"/>
      <c r="E30" s="4" t="inlineStr"/>
      <c r="F30" s="4" t="inlineStr"/>
      <c r="G30" s="4" t="inlineStr"/>
      <c r="H30" s="4" t="inlineStr"/>
    </row>
    <row r="31" ht="30" customHeight="1">
      <c r="A31" s="12" t="inlineStr">
        <is>
          <t>Dev A</t>
        </is>
      </c>
      <c r="B31" s="13" t="inlineStr">
        <is>
          <t>ai-service/src/ai/db/**</t>
        </is>
      </c>
      <c r="C31" s="13" t="inlineStr">
        <is>
          <t>session.py (SET LOCAL app.tenant_id), pool, models, repositories</t>
        </is>
      </c>
      <c r="D31" s="13" t="n"/>
      <c r="E31" s="13" t="n"/>
      <c r="F31" s="13" t="n"/>
      <c r="G31" s="13" t="n"/>
      <c r="H31" s="13" t="n"/>
    </row>
    <row r="32" ht="30" customHeight="1">
      <c r="A32" s="12" t="inlineStr">
        <is>
          <t>Dev A</t>
        </is>
      </c>
      <c r="B32" s="13" t="inlineStr">
        <is>
          <t>ai-service/src/ai/rag/**</t>
        </is>
      </c>
      <c r="C32" s="13" t="inlineStr">
        <is>
          <t>ingest, retrieve (hybrid + RRF), rerank, generate</t>
        </is>
      </c>
      <c r="D32" s="13" t="n"/>
      <c r="E32" s="13" t="n"/>
      <c r="F32" s="13" t="n"/>
      <c r="G32" s="13" t="n"/>
      <c r="H32" s="13" t="n"/>
    </row>
    <row r="33" ht="30" customHeight="1">
      <c r="A33" s="12" t="inlineStr">
        <is>
          <t>Dev A</t>
        </is>
      </c>
      <c r="B33" s="13" t="inlineStr">
        <is>
          <t>ai-service/migration/** (dải V2xx)</t>
        </is>
      </c>
      <c r="C33" s="13" t="inlineStr">
        <is>
          <t>Migration mới BẮT ĐẦU TỪ V210 — V201–V209 đã chạy, không sửa</t>
        </is>
      </c>
      <c r="D33" s="13" t="n"/>
      <c r="E33" s="13" t="n"/>
      <c r="F33" s="13" t="n"/>
      <c r="G33" s="13" t="n"/>
      <c r="H33" s="13" t="n"/>
    </row>
    <row r="34" ht="30" customHeight="1">
      <c r="A34" s="12" t="inlineStr">
        <is>
          <t>Dev A</t>
        </is>
      </c>
      <c r="B34" s="13" t="inlineStr">
        <is>
          <t>ai-service/src/ai/orchestrator/nodes/{guard,retrieve,generate,postguard}.py</t>
        </is>
      </c>
      <c r="C34" s="13" t="inlineStr">
        <is>
          <t>4 node của đường trả lời</t>
        </is>
      </c>
      <c r="D34" s="13" t="n"/>
      <c r="E34" s="13" t="n"/>
      <c r="F34" s="13" t="n"/>
      <c r="G34" s="13" t="n"/>
      <c r="H34" s="13" t="n"/>
    </row>
    <row r="35" ht="30" customHeight="1">
      <c r="A35" s="12" t="inlineStr">
        <is>
          <t>Dev A</t>
        </is>
      </c>
      <c r="B35" s="13" t="inlineStr">
        <is>
          <t>ai-service/tests/eval/**</t>
        </is>
      </c>
      <c r="C35" s="13" t="inlineStr">
        <is>
          <t>Bộ vàng, eval harness, configs</t>
        </is>
      </c>
      <c r="D35" s="13" t="n"/>
      <c r="E35" s="13" t="n"/>
      <c r="F35" s="13" t="n"/>
      <c r="G35" s="13" t="n"/>
      <c r="H35" s="13" t="n"/>
    </row>
    <row r="36" ht="30" customHeight="1">
      <c r="A36" s="12" t="inlineStr">
        <is>
          <t>Dev A</t>
        </is>
      </c>
      <c r="B36" s="13" t="inlineStr">
        <is>
          <t>inference/src/roles/{embed,rerank}.py</t>
        </is>
      </c>
      <c r="C36" s="13" t="inlineStr">
        <is>
          <t>Hai service suy luận của đường truy hồi</t>
        </is>
      </c>
      <c r="D36" s="13" t="n"/>
      <c r="E36" s="13" t="n"/>
      <c r="F36" s="13" t="n"/>
      <c r="G36" s="13" t="n"/>
      <c r="H36" s="13" t="n"/>
    </row>
    <row r="37" ht="30" customHeight="1">
      <c r="A37" s="5" t="inlineStr">
        <is>
          <t>Dev B</t>
        </is>
      </c>
      <c r="B37" s="6" t="inlineStr">
        <is>
          <t>ai-service/src/api/**</t>
        </is>
      </c>
      <c r="C37" s="6" t="inlineStr">
        <is>
          <t>FastAPI routing, deps, eureka, OpenAPI</t>
        </is>
      </c>
      <c r="D37" s="6" t="n"/>
      <c r="E37" s="6" t="n"/>
      <c r="F37" s="6" t="n"/>
      <c r="G37" s="6" t="n"/>
      <c r="H37" s="6" t="n"/>
    </row>
    <row r="38" ht="30" customHeight="1">
      <c r="A38" s="5" t="inlineStr">
        <is>
          <t>Dev B</t>
        </is>
      </c>
      <c r="B38" s="6" t="inlineStr">
        <is>
          <t>ai-service/src/worker/**</t>
        </is>
      </c>
      <c r="C38" s="6" t="inlineStr">
        <is>
          <t>Kafka consumer, DLQ, chống trùng, trigger UC026, UC038</t>
        </is>
      </c>
      <c r="D38" s="6" t="n"/>
      <c r="E38" s="6" t="n"/>
      <c r="F38" s="6" t="n"/>
      <c r="G38" s="6" t="n"/>
      <c r="H38" s="6" t="n"/>
    </row>
    <row r="39" ht="30" customHeight="1">
      <c r="A39" s="5" t="inlineStr">
        <is>
          <t>Dev B</t>
        </is>
      </c>
      <c r="B39" s="6" t="inlineStr">
        <is>
          <t>ai-service/src/ai/{scoring,extraction,clustering}/**</t>
        </is>
      </c>
      <c r="C39" s="6" t="inlineStr">
        <is>
          <t>UC029, UC030, UC031, UC038</t>
        </is>
      </c>
      <c r="D39" s="6" t="n"/>
      <c r="E39" s="6" t="n"/>
      <c r="F39" s="6" t="n"/>
      <c r="G39" s="6" t="n"/>
      <c r="H39" s="6" t="n"/>
    </row>
    <row r="40" ht="30" customHeight="1">
      <c r="A40" s="5" t="inlineStr">
        <is>
          <t>Dev B</t>
        </is>
      </c>
      <c r="B40" s="6" t="inlineStr">
        <is>
          <t>ai-service/src/ai/{guardrails,events,telemetry}/**</t>
        </is>
      </c>
      <c r="C40" s="6" t="inlineStr">
        <is>
          <t>normalize/injection/pii, envelope sự kiện, metric</t>
        </is>
      </c>
      <c r="D40" s="6" t="n"/>
      <c r="E40" s="6" t="n"/>
      <c r="F40" s="6" t="n"/>
      <c r="G40" s="6" t="n"/>
      <c r="H40" s="6" t="n"/>
    </row>
    <row r="41" ht="30" customHeight="1">
      <c r="A41" s="5" t="inlineStr">
        <is>
          <t>Dev B</t>
        </is>
      </c>
      <c r="B41" s="6" t="inlineStr">
        <is>
          <t>ai-service/src/ai/integrations/java_core/**</t>
        </is>
      </c>
      <c r="C41" s="6" t="inlineStr">
        <is>
          <t>Mọi lời gọi sang Track A — KHÔNG nối thẳng CSDL (ADR-0002)</t>
        </is>
      </c>
      <c r="D41" s="6" t="n"/>
      <c r="E41" s="6" t="n"/>
      <c r="F41" s="6" t="n"/>
      <c r="G41" s="6" t="n"/>
      <c r="H41" s="6" t="n"/>
    </row>
    <row r="42" ht="30" customHeight="1">
      <c r="A42" s="5" t="inlineStr">
        <is>
          <t>Dev B</t>
        </is>
      </c>
      <c r="B42" s="6" t="inlineStr">
        <is>
          <t>ai-service/src/ai/orchestrator/nodes/{route,fastpath,handoff,telemetry}.py</t>
        </is>
      </c>
      <c r="C42" s="6" t="inlineStr">
        <is>
          <t>4 node của đường định tuyến và ghi nhận</t>
        </is>
      </c>
      <c r="D42" s="6" t="n"/>
      <c r="E42" s="6" t="n"/>
      <c r="F42" s="6" t="n"/>
      <c r="G42" s="6" t="n"/>
      <c r="H42" s="6" t="n"/>
    </row>
    <row r="43" ht="30" customHeight="1">
      <c r="A43" s="5" t="inlineStr">
        <is>
          <t>Dev B</t>
        </is>
      </c>
      <c r="B43" s="6" t="inlineStr">
        <is>
          <t>inference/src/roles/classify.py</t>
        </is>
      </c>
      <c r="C43" s="6" t="inlineStr">
        <is>
          <t>Router ý định và lead scorer</t>
        </is>
      </c>
      <c r="D43" s="6" t="n"/>
      <c r="E43" s="6" t="n"/>
      <c r="F43" s="6" t="n"/>
      <c r="G43" s="6" t="n"/>
      <c r="H43" s="6" t="n"/>
    </row>
    <row r="44" ht="30" customHeight="1">
      <c r="A44" s="7" t="inlineStr">
        <is>
          <t>CHUNG — cần cả hai duyệt</t>
        </is>
      </c>
      <c r="B44" s="8" t="inlineStr">
        <is>
          <t>ai-service/src/ai/service.py</t>
        </is>
      </c>
      <c r="C44" s="8" t="inlineStr">
        <is>
          <t>FACADE DUY NHẤT. api/ và worker/ chỉ gọi vào đây, không gọi thẳng orchestrator</t>
        </is>
      </c>
      <c r="D44" s="8" t="n"/>
      <c r="E44" s="8" t="n"/>
      <c r="F44" s="8" t="n"/>
      <c r="G44" s="8" t="n"/>
      <c r="H44" s="8" t="n"/>
    </row>
    <row r="45" ht="30" customHeight="1">
      <c r="A45" s="7" t="inlineStr">
        <is>
          <t>CHUNG — cần cả hai duyệt</t>
        </is>
      </c>
      <c r="B45" s="8" t="inlineStr">
        <is>
          <t>ai-service/src/ai/orchestrator/{graph.py,state.py}</t>
        </is>
      </c>
      <c r="C45" s="8" t="inlineStr">
        <is>
          <t>AgentState chốt CHUNG ở Ngày 8. Mỗi người chỉ ĐĂNG KÝ node của mình vào registry, KHÔNG sửa node của người kia</t>
        </is>
      </c>
      <c r="D45" s="8" t="n"/>
      <c r="E45" s="8" t="n"/>
      <c r="F45" s="8" t="n"/>
      <c r="G45" s="8" t="n"/>
      <c r="H45" s="8" t="n"/>
    </row>
    <row r="46" ht="30" customHeight="1">
      <c r="A46" s="7" t="inlineStr">
        <is>
          <t>CHUNG — cần cả hai duyệt</t>
        </is>
      </c>
      <c r="B46" s="8" t="inlineStr">
        <is>
          <t>ai-service/src/ai/schemas.py</t>
        </is>
      </c>
      <c r="C46" s="8" t="inlineStr">
        <is>
          <t>Là MỘT FILE, không phải thư mục (ADR-0015). Giao ước DTO với java-core</t>
        </is>
      </c>
      <c r="D46" s="8" t="n"/>
      <c r="E46" s="8" t="n"/>
      <c r="F46" s="8" t="n"/>
      <c r="G46" s="8" t="n"/>
      <c r="H46" s="8" t="n"/>
    </row>
    <row r="47" ht="30" customHeight="1">
      <c r="A47" s="7" t="inlineStr">
        <is>
          <t>CHUNG — cần cả hai duyệt</t>
        </is>
      </c>
      <c r="B47" s="8" t="inlineStr">
        <is>
          <t>docs/openapi/**, docs/events/**, scripts/create-topics.sh</t>
        </is>
      </c>
      <c r="C47" s="8" t="inlineStr">
        <is>
          <t>Hợp đồng liên làn. Đổi hợp đồng phải báo Track A trước, không sửa lặng lẽ</t>
        </is>
      </c>
      <c r="D47" s="8" t="n"/>
      <c r="E47" s="8" t="n"/>
      <c r="F47" s="8" t="n"/>
      <c r="G47" s="8" t="n"/>
      <c r="H47" s="8" t="n"/>
    </row>
    <row r="48" ht="30" customHeight="1">
      <c r="A48" s="9" t="inlineStr">
        <is>
          <t>KHÔNG AI ĐƯỢC SỬA</t>
        </is>
      </c>
      <c r="B48" s="10" t="inlineStr">
        <is>
          <t>data/intent_test_human.jsonl, bộ vàng đã đóng băng, artifacts/DATA_HASHES.txt</t>
        </is>
      </c>
      <c r="C48" s="10" t="inlineStr">
        <is>
          <t>Tập test đóng băng và sổ hash. Sửa được chúng thì mọi con số macro-F1 và recall@5 trong báo cáo mất ý nghĩa</t>
        </is>
      </c>
      <c r="D48" s="10" t="n"/>
      <c r="E48" s="10" t="n"/>
      <c r="F48" s="10" t="n"/>
      <c r="G48" s="10" t="n"/>
      <c r="H48" s="10" t="n"/>
    </row>
    <row r="49" ht="30" customHeight="1">
      <c r="A49" s="9" t="inlineStr">
        <is>
          <t>KHÔNG AI ĐƯỢC SỬA</t>
        </is>
      </c>
      <c r="B49" s="10" t="inlineStr">
        <is>
          <t>java-core/, gateway/, eureka-server/, web-dashboard/, web-widget/, loadtest/</t>
        </is>
      </c>
      <c r="C49" s="10" t="inlineStr">
        <is>
          <t>Mã nguồn Track A. Cần đổi thì báo, không tự sửa</t>
        </is>
      </c>
      <c r="D49" s="10" t="n"/>
      <c r="E49" s="10" t="n"/>
      <c r="F49" s="10" t="n"/>
      <c r="G49" s="10" t="n"/>
      <c r="H49" s="10" t="n"/>
    </row>
  </sheetData>
  <mergeCells count="22">
    <mergeCell ref="C41:H41"/>
    <mergeCell ref="C47:H47"/>
    <mergeCell ref="C44:H44"/>
    <mergeCell ref="C40:H40"/>
    <mergeCell ref="C31:H31"/>
    <mergeCell ref="C43:H43"/>
    <mergeCell ref="A1:H1"/>
    <mergeCell ref="C46:H46"/>
    <mergeCell ref="C36:H36"/>
    <mergeCell ref="C39:H39"/>
    <mergeCell ref="C48:H48"/>
    <mergeCell ref="C32:H32"/>
    <mergeCell ref="C38:H38"/>
    <mergeCell ref="A2:H2"/>
    <mergeCell ref="C37:H37"/>
    <mergeCell ref="C49:H49"/>
    <mergeCell ref="C34:H34"/>
    <mergeCell ref="C33:H33"/>
    <mergeCell ref="C42:H42"/>
    <mergeCell ref="A29:H29"/>
    <mergeCell ref="C45:H45"/>
    <mergeCell ref="C35:H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2" customWidth="1" min="1" max="1"/>
    <col width="40" customWidth="1" min="2" max="2"/>
    <col width="46" customWidth="1" min="3" max="3"/>
    <col width="14" customWidth="1" min="4" max="4"/>
    <col width="72" customWidth="1" min="5" max="5"/>
    <col width="56" customWidth="1" min="6" max="6"/>
  </cols>
  <sheetData>
    <row r="1" ht="26" customHeight="1">
      <c r="A1" s="2" t="inlineStr">
        <is>
          <t>PHẠM VI: 17 USE CASE TRONG 21 NGÀY — MƯỜI HẠNG MỤC RÚT GỌN, KHÔNG HẠNG MỤC NÀO BỊ BỎ HẲN</t>
        </is>
      </c>
    </row>
    <row r="2" ht="58" customHeight="1">
      <c r="A2" s="3" t="inlineStr">
        <is>
          <t>Hai hạng mục CHẤT LƯỢNG được giữ, cả hai dựa trên cùng một thủ thuật: GPU Kaggle chạy qua đêm nên tốn giờ máy chứ không tốn ngày làm việc. Các hạng mục còn lại rút gọn hoặc làm sau, cột cuối ghi rõ thứ tự ưu tiên và thời lượng. Đưa nguyên bảng này vào mục 'Phạm vi và hướng phát triển' của báo cáo: nói rõ rút gọn gì, vì sao, bao giờ làm tiếp MẠNH HƠN NHIỀU so với im lặng về phạm vi.</t>
        </is>
      </c>
    </row>
    <row r="4" ht="30" customHeight="1">
      <c r="A4" s="4" t="inlineStr">
        <is>
          <t>Hạng mục</t>
        </is>
      </c>
      <c r="B4" s="4" t="inlineStr">
        <is>
          <t>Bản đầy đủ</t>
        </is>
      </c>
      <c r="C4" s="4" t="inlineStr">
        <is>
          <t>Bản 21 ngày</t>
        </is>
      </c>
      <c r="D4" s="4" t="inlineStr">
        <is>
          <t>Tiết kiệm</t>
        </is>
      </c>
      <c r="E4" s="4" t="inlineStr">
        <is>
          <t>Lý do và ảnh hưởng tới báo cáo</t>
        </is>
      </c>
      <c r="F4" s="4" t="inlineStr">
        <is>
          <t>Kế hoạch làm tiếp</t>
        </is>
      </c>
    </row>
    <row r="5" ht="82" customHeight="1">
      <c r="A5" s="19" t="inlineStr">
        <is>
          <t>Cụm AWS EKS Production</t>
        </is>
      </c>
      <c r="B5" s="20" t="inlineStr">
        <is>
          <t>5 node group + ALB + ACM + HPA + PDB + IRSA + rolling update/rollback</t>
        </is>
      </c>
      <c r="C5" s="20" t="inlineStr">
        <is>
          <t>1 instance cloud CPU, docker compose kiểu production + Nginx/TLS (Ngày 18)</t>
        </is>
      </c>
      <c r="D5" s="21" t="inlineStr">
        <is>
          <t>~9 người-ngày</t>
        </is>
      </c>
      <c r="E5" s="20" t="inlineStr">
        <is>
          <t>Đây là năng lực VẬN HÀNH, không phải chất lượng của module AI. Mọi chỉ tiêu chất lượng (recall, parity, cách ly tenant, p95) đều đo được đầy đủ trên môi trường hiện tại. Thư mục inference/k8s/ hiện chỉ có .gitkeep.</t>
        </is>
      </c>
      <c r="F5" s="20" t="inlineStr">
        <is>
          <t>ƯU TIÊN 1 — manifest và eksctl config viết sẵn được trong lúc chờ; dựng cụm + deploy + đo lại mất khoảng 4–5 ngày với 2 người.</t>
        </is>
      </c>
    </row>
    <row r="6" ht="82" customHeight="1">
      <c r="A6" s="19" t="inlineStr">
        <is>
          <t>Load test đầy đủ</t>
        </is>
      </c>
      <c r="B6" s="20" t="inlineStr">
        <is>
          <t>Tải mục tiêu 50u/30 phút + đỉnh tải 150u + soak 4 giờ</t>
        </is>
      </c>
      <c r="C6" s="20" t="inlineStr">
        <is>
          <t>Baseline 10u/10 phút + tải mục tiêu 50u/15 phút (Ngày 19) + soak 1 giờ + 2 kịch bản đứt kết nối</t>
        </is>
      </c>
      <c r="D6" s="21" t="inlineStr">
        <is>
          <t>~1 người-ngày</t>
        </is>
      </c>
      <c r="E6" s="20" t="inlineStr">
        <is>
          <t>Giữ đúng kịch bản QUYẾT ĐỊNH (50 người dùng đồng thời, p95 &lt; 4s). Đỉnh tải 150u chỉ có nghĩa khi có autoscaling — trên một instance đơn nó chỉ làm bão hoà CPU và cho ra con số không diễn giải được.</t>
        </is>
      </c>
      <c r="F6" s="20" t="inlineStr">
        <is>
          <t>ƯU TIÊN 2 — làm CÙNG LÚC với EKS. Soak 4 giờ chạy qua đêm nên gần như 0 giờ người.</t>
        </is>
      </c>
    </row>
    <row r="7" ht="82" customHeight="1">
      <c r="A7" s="19" t="inlineStr">
        <is>
          <t>Benchmark hai ma trận đầy đủ</t>
        </is>
      </c>
      <c r="B7" s="20" t="inlineStr">
        <is>
          <t>14 dòng ma trận model × số luồng + 27 ô ma trận khối lượng rerank kèm nDCG@5 từng ô</t>
        </is>
      </c>
      <c r="C7" s="20" t="inlineStr">
        <is>
          <t>Ma trận rút gọn 3 model × 2 mức vCPU (Ngày 15)</t>
        </is>
      </c>
      <c r="D7" s="21" t="inlineStr">
        <is>
          <t>~1 người-ngày</t>
        </is>
      </c>
      <c r="E7" s="20" t="inlineStr">
        <is>
          <t>Vẫn chứng minh được 2 điều cốt lõi: model nhỏ tăng vCPU KHÔNG cải thiện p95, và OMP_NUM_THREADS phải khớp số CPU được cấp. MẤT: độ phủ ứng viên model và bảng nDCG theo khối lượng.</t>
        </is>
      </c>
      <c r="F7" s="20" t="inlineStr">
        <is>
          <t>ƯU TIÊN 3 — script bench_cpu.py viết ở Ngày 15, chạy thêm chỉ tốn giờ máy. Khoảng 1 ngày.</t>
        </is>
      </c>
    </row>
    <row r="8" ht="82" customHeight="1">
      <c r="A8" s="19" t="inlineStr">
        <is>
          <t>Bật và tinh chỉnh rerank</t>
        </is>
      </c>
      <c r="B8" s="20" t="inlineStr">
        <is>
          <t>Quét ma trận khối lượng, chọn cấu hình tối ưu, bật và đo lại</t>
        </is>
      </c>
      <c r="C8" s="20" t="inlineStr">
        <is>
          <t>Triển khai sau feature flag, MẶC ĐỊNH TẮT, đo nDCG một lần để có số liệu cho ADR (Ngày 8)</t>
        </is>
      </c>
      <c r="D8" s="21" t="inlineStr">
        <is>
          <t>~1 người-ngày</t>
        </is>
      </c>
      <c r="E8" s="20" t="inlineStr">
        <is>
          <t>Rerank là thứ ĐẦU TIÊN bị cắt khi ngân sách độ trễ căng (§5.3 quy tắc 2) vì lợi ích của nó nhỏ hơn phương sai của LLM. Cổng quyết định vẫn được ghi vào ADR: bật production chỉ khi cho thêm ≥ 5 điểm nDCG@5 và p95 vẫn dưới 4s.</t>
        </is>
      </c>
      <c r="F8" s="20" t="inlineStr">
        <is>
          <t>ƯU TIÊN 4 — code đã có sẵn sau feature flag; sau khi có benchmark thì bật/tắt là một phép đọc bảng.</t>
        </is>
      </c>
    </row>
    <row r="9" ht="82" customHeight="1">
      <c r="A9" s="19" t="inlineStr">
        <is>
          <t>Bộ kiểm thử hồi quy tự động đủ 17 UC</t>
        </is>
      </c>
      <c r="B9" s="20" t="inlineStr">
        <is>
          <t>Một lệnh chạy hết 17 UC, xuất báo cáo pass/fail theo từng UC</t>
        </is>
      </c>
      <c r="C9" s="20" t="inlineStr">
        <is>
          <t>Test của Dev B đã gom thành một lệnh (Ngày 13); phần Dev A còn chạy rời</t>
        </is>
      </c>
      <c r="D9" s="21" t="inlineStr">
        <is>
          <t>~0,5 người-ngày</t>
        </is>
      </c>
      <c r="E9" s="20" t="inlineStr">
        <is>
          <t>Đã làm được một nửa gần như miễn phí. Phần còn lại là gom test của Dev A và viết trình chạy chung.</t>
        </is>
      </c>
      <c r="F9" s="20" t="inlineStr">
        <is>
          <t>ƯU TIÊN 5 — nửa ngày. Làm sớm thì mọi lần sửa về sau đều rẻ hơn.</t>
        </is>
      </c>
    </row>
    <row r="10" ht="82" customHeight="1">
      <c r="A10" s="19" t="inlineStr">
        <is>
          <t>UC038 chạy định kỳ tự động</t>
        </is>
      </c>
      <c r="B10" s="20" t="inlineStr">
        <is>
          <t>CronJob Kubernetes hằng tuần theo từng tenant</t>
        </is>
      </c>
      <c r="C10" s="20" t="inlineStr">
        <is>
          <t>Chạy THỦ CÔNG một lần, ghim random_state, đủ số liệu cho báo cáo (Ngày 17)</t>
        </is>
      </c>
      <c r="D10" s="21" t="inlineStr">
        <is>
          <t>~0,5 người-ngày</t>
        </is>
      </c>
      <c r="E10" s="20" t="inlineStr">
        <is>
          <t>Use case vẫn được demo đầy đủ. MẤT: phần tự động hoá lịch chạy.</t>
        </is>
      </c>
      <c r="F10" s="20" t="inlineStr">
        <is>
          <t>ƯU TIÊN 6 — làm được ngay bằng cron/systemd timer trên instance, khoảng nửa ngày, không cần chờ EKS.</t>
        </is>
      </c>
    </row>
    <row r="11" ht="82" customHeight="1">
      <c r="A11" s="19" t="inlineStr">
        <is>
          <t>Ngày rà soát chéo + red-team chuyên biệt</t>
        </is>
      </c>
      <c r="B11" s="20" t="inlineStr">
        <is>
          <t>Trọn một ngày mỗi người đọc và tấn công toàn bộ phần của người kia</t>
        </is>
      </c>
      <c r="C11" s="20" t="inlineStr">
        <is>
          <t>Rà soát chéo NHẸ trong nhịp hằng ngày: không ai merge phần của mình mà không có người kia đọc qua pull request</t>
        </is>
      </c>
      <c r="D11" s="21" t="inlineStr">
        <is>
          <t>~2 người-ngày</t>
        </is>
      </c>
      <c r="E11" s="20" t="inlineStr">
        <is>
          <t>Bản nhẹ giữ được phần lớn giá trị với chi phí gần bằng 0. MẤT: buổi red-team tập trung, nơi thường lòi ra các lỗi ở đường biên mà đọc code thường không thấy.</t>
        </is>
      </c>
      <c r="F11" s="20" t="inlineStr">
        <is>
          <t>ƯU TIÊN 7 — một ngày sau khi nộp.</t>
        </is>
      </c>
    </row>
    <row r="12" ht="82" customHeight="1">
      <c r="A12" s="19" t="inlineStr">
        <is>
          <t>Mở rộng tập test người thật</t>
        </is>
      </c>
      <c r="B12" s="20" t="inlineStr">
        <is>
          <t>250–300 câu (ADR-0016 ghi không dưới 250, giả định 3 người gõ)</t>
        </is>
      </c>
      <c r="C12" s="20" t="inlineStr">
        <is>
          <t>200 câu, 2 người gõ + gán nhãn chéo + Cohen's kappa (Ngày 2)</t>
        </is>
      </c>
      <c r="D12" s="21" t="inlineStr">
        <is>
          <t>~0,5 người-ngày</t>
        </is>
      </c>
      <c r="E12" s="20" t="inlineStr">
        <is>
          <t>Nhóm có 2 người chứ không phải 3. 200 câu là mức SÀN để macro-F1 còn có nghĩa — KHÔNG ĐƯỢC cắt sâu hơn. Với tập nhỏ, khoảng tin cậy bootstrap rộng hơn nên càng phải so sánh THEO CẶP chứ không so hai con số trần. Ghi rõ con số 200 và lý do vào báo cáo, đừng để người đọc tự phát hiện.</t>
        </is>
      </c>
      <c r="F12" s="20" t="inlineStr">
        <is>
          <t>ƯU TIÊN 8 — mở rộng dần. Mỗi lần bổ sung phải ĐÓNG BĂNG và ghi hash mới, giữ nguyên tập cũ để so sánh lịch sử vẫn hợp lệ.</t>
        </is>
      </c>
    </row>
    <row r="13" ht="82" customHeight="1">
      <c r="A13" s="19" t="inlineStr">
        <is>
          <t>Nhánh A của router (TF-IDF + LinearSVC)</t>
        </is>
      </c>
      <c r="B13" s="20" t="inlineStr">
        <is>
          <t>3 nhánh đối chứng A/B/C (§5.9)</t>
        </is>
      </c>
      <c r="C13" s="20" t="inlineStr">
        <is>
          <t>2 nhánh: B (XLM-R fine-tune) và C (embedding + kNN) — Ngày 4–5</t>
        </is>
      </c>
      <c r="D13" s="21" t="inlineStr">
        <is>
          <t>~0,3 người-ngày</t>
        </is>
      </c>
      <c r="E13" s="20" t="inlineStr">
        <is>
          <t>Quyết định phạm vi có chủ đích, ghi vào ADR. Đánh đổi cần biết: nhánh A là baseline RẺ NHẤT và là nhánh duy nhất chắc chắn lọt ngân sách 60 ms. Bỏ A nghĩa là nếu B quá chậm thì chỉ còn C làm lưới an toàn — may là C tái dùng ai-embed nên lưới này khá chắc.</t>
        </is>
      </c>
      <c r="F13" s="20" t="inlineStr">
        <is>
          <t>TÙY CHỌN — nhánh A huấn luyện trong vài phút trên CPU, bổ sung lại chỉ tốn 1–2 giờ. Hạng mục rẻ nhất cả danh sách.</t>
        </is>
      </c>
    </row>
    <row r="14" ht="82" customHeight="1">
      <c r="A14" s="19" t="inlineStr">
        <is>
          <t>Ngày đệm thuần</t>
        </is>
      </c>
      <c r="B14" s="20" t="inlineStr">
        <is>
          <t>6 ngày đệm (bản 7 tuần)</t>
        </is>
      </c>
      <c r="C14" s="20" t="inlineStr">
        <is>
          <t>Ngày 7 để nhẹ làm đệm một phần; Ngày 14 và 21 là tích hợp + báo cáo</t>
        </is>
      </c>
      <c r="D14" s="21" t="inlineStr">
        <is>
          <t>~3 người-ngày</t>
        </is>
      </c>
      <c r="E14" s="20" t="inlineStr">
        <is>
          <t>Vẫn căng. Một ngày trượt phải xử lý bằng CẮT ĐỘ SÂU ngay trong ngày, không được lùi sang ngày sau — vì ngày sau đã đầy.</t>
        </is>
      </c>
      <c r="F14" s="20" t="inlineStr">
        <is>
          <t>Không áp dụng — đây là hệ quả của thời hạn, không phải hạng mục kỹ thuật.</t>
        </is>
      </c>
    </row>
    <row r="16" ht="24" customHeight="1">
      <c r="A16" s="2" t="inlineStr">
        <is>
          <t>HAI HẠNG MỤC CHẤT LƯỢNG ĐƯỢC GIỮ — CÙNG MỘT THỦ THUẬT: GPU CHẠY QUA ĐÊM</t>
        </is>
      </c>
    </row>
    <row r="17" ht="30" customHeight="1">
      <c r="A17" s="4" t="inlineStr">
        <is>
          <t>Hạng mục GIỮ LẠI</t>
        </is>
      </c>
      <c r="B17" s="4" t="inlineStr">
        <is>
          <t>Chi phí thật</t>
        </is>
      </c>
      <c r="C17" s="4" t="inlineStr">
        <is>
          <t>Đặt ở đâu trong 21 ngày</t>
        </is>
      </c>
      <c r="D17" s="4" t="inlineStr">
        <is>
          <t>Vì sao nhét vừa</t>
        </is>
      </c>
      <c r="E17" s="4" t="inlineStr">
        <is>
          <t>Đánh đổi</t>
        </is>
      </c>
      <c r="F17" s="4" t="inlineStr"/>
    </row>
    <row r="18" ht="76" customHeight="1">
      <c r="A18" s="5" t="inlineStr">
        <is>
          <t>Fine-tune embedding trên dữ liệu miền</t>
        </is>
      </c>
      <c r="B18" s="6" t="inlineStr">
        <is>
          <t>~1 người-ngày</t>
        </is>
      </c>
      <c r="C18" s="6" t="inlineStr">
        <is>
          <t>Ngày 6 (khai thác cặp huấn luyện + phóng GPU qua đêm) và Ngày 7 (export ONNX, cổng parity, reindex, đo lại có KTC)</t>
        </is>
      </c>
      <c r="D18" s="6" t="inlineStr">
        <is>
          <t>Huấn luyện GPU Kaggle 3–5 giờ chạy QUA ĐÊM giữa Ngày 6 và Ngày 7, và reindex toàn bộ chunk 15–30 phút chạy nền — hai việc nặng nhất tốn 0 giờ người. Chi phí thật chỉ còn export, kiểm parity và đo lại.</t>
        </is>
      </c>
      <c r="E18" s="6" t="inlineStr">
        <is>
          <t>Test tải hỗn hợp chuyển sang Ngày 7 (Dev B). Mọi con số recall/nDCG từ Ngày 8 trở đi là của bản fine-tune; baseline pretrained lưu từ Ngày 6 làm cột đối chứng.</t>
        </is>
      </c>
      <c r="F18" s="6" t="n"/>
    </row>
    <row r="19" ht="76" customHeight="1">
      <c r="A19" s="5" t="inlineStr">
        <is>
          <t>Nhánh B của router (XLM-R fine-tune)</t>
        </is>
      </c>
      <c r="B19" s="6" t="inlineStr">
        <is>
          <t>~0,5 người-ngày</t>
        </is>
      </c>
      <c r="C19" s="6" t="inlineStr">
        <is>
          <t>Phóng GPU cuối Ngày 4, thu kết quả và so sánh hai nhánh ở Ngày 5</t>
        </is>
      </c>
      <c r="D19" s="6" t="inlineStr">
        <is>
          <t>Cùng thủ thuật: GPU Kaggle chạy qua đêm 3–4 giờ, 0 giờ người. Chi phí thật chỉ là phần phân tích so sánh ở Ngày 5.</t>
        </is>
      </c>
      <c r="E19" s="6" t="inlineStr">
        <is>
          <t>Bỏ nhánh A để giữ khối lượng không đổi. So sánh còn hai hướng tiếp cận rõ ràng: model chuyên dụng nặng (B) và tái dùng embedding sẵn có (C) — vẫn đủ làm một bảng đối chứng có KTC cho Chương 5.</t>
        </is>
      </c>
      <c r="F19" s="6" t="n"/>
    </row>
    <row r="21" ht="24" customHeight="1">
      <c r="A21" s="2" t="inlineStr">
        <is>
          <t>KHÔNG ĐƯỢC CẮT THÊM — bốn thứ giữ lại bằng mọi giá</t>
        </is>
      </c>
    </row>
    <row r="22" ht="40" customHeight="1">
      <c r="A22" s="9" t="inlineStr">
        <is>
          <t>Tập test người thật đã đóng băng</t>
        </is>
      </c>
      <c r="B22" s="10" t="inlineStr">
        <is>
          <t>Không có nó thì mọi con số macro-F1 đều là ảo — hai nhánh router đang được so trên một bài toán giả.</t>
        </is>
      </c>
      <c r="C22" s="10" t="n"/>
      <c r="D22" s="10" t="n"/>
      <c r="E22" s="10" t="n"/>
      <c r="F22" s="10" t="n"/>
    </row>
    <row r="23" ht="40" customHeight="1">
      <c r="A23" s="9" t="inlineStr">
        <is>
          <t>Test cách ly tenant trong CI</t>
        </is>
      </c>
      <c r="B23" s="10" t="inlineStr">
        <is>
          <t>Rò rỉ dữ liệu giữa doanh nghiệp là lỗi không sửa được bằng lời giải thích. Là 1 trong 7 chỉ số §1.6.</t>
        </is>
      </c>
      <c r="C23" s="10" t="n"/>
      <c r="D23" s="10" t="n"/>
      <c r="E23" s="10" t="n"/>
      <c r="F23" s="10" t="n"/>
    </row>
    <row r="24" ht="40" customHeight="1">
      <c r="A24" s="9" t="inlineStr">
        <is>
          <t>Bộ vàng ≥ 80 cặp</t>
        </is>
      </c>
      <c r="B24" s="10" t="inlineStr">
        <is>
          <t>Là mẫu số của recall@5 và độ phủ trích dẫn — hai chỉ số cốt lõi của UC023.</t>
        </is>
      </c>
      <c r="C24" s="10" t="n"/>
      <c r="D24" s="10" t="n"/>
      <c r="E24" s="10" t="n"/>
      <c r="F24" s="10" t="n"/>
    </row>
    <row r="25" ht="40" customHeight="1">
      <c r="A25" s="9" t="inlineStr">
        <is>
          <t>Đủ 17 use case chạy được</t>
        </is>
      </c>
      <c r="B25" s="10" t="inlineStr">
        <is>
          <t>Mỗi UC phải có: endpoint/worker chạy, 1 test chứng minh luồng chính, 1 con số minh chứng. Đó là mức tối thiểu để được chấm. Giảm ĐỘ SÂU thì được, bỏ hẳn một UC thì mất điểm trực tiếp.</t>
        </is>
      </c>
      <c r="C25" s="10" t="n"/>
      <c r="D25" s="10" t="n"/>
      <c r="E25" s="10" t="n"/>
      <c r="F25" s="10" t="n"/>
    </row>
  </sheetData>
  <mergeCells count="10">
    <mergeCell ref="A2:F2"/>
    <mergeCell ref="A16:F16"/>
    <mergeCell ref="B24:F24"/>
    <mergeCell ref="A1:F1"/>
    <mergeCell ref="E19:F19"/>
    <mergeCell ref="B25:F25"/>
    <mergeCell ref="B23:F23"/>
    <mergeCell ref="B22:F22"/>
    <mergeCell ref="A21:F21"/>
    <mergeCell ref="E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8" customWidth="1" min="1" max="1"/>
    <col width="82" customWidth="1" min="2" max="2"/>
    <col width="68" customWidth="1" min="3" max="3"/>
    <col width="20" customWidth="1" min="4" max="4"/>
    <col width="72" customWidth="1" min="5" max="5"/>
  </cols>
  <sheetData>
    <row r="1" ht="26" customHeight="1">
      <c r="A1" s="2" t="inlineStr">
        <is>
          <t>MỞ RỘNG SAU ĐỒ ÁN — HƯỚNG PHÁT TRIỂN, KHÔNG PHẢI PHẦN BỊ THIẾU</t>
        </is>
      </c>
    </row>
    <row r="2" ht="60" customHeight="1">
      <c r="A2" s="3" t="inlineStr">
        <is>
          <t>Đề tài được duyệt yêu cầu: chatbot LLM tích hợp CRM, RAG trên dữ liệu riêng doanh nghiệp, phân loại và ghi nhận khách hàng tiềm năng, dashboard thống kê, hỗ trợ đa kênh. 17 use case trong sheet kế hoạch phủ trọn phần module AI của các yêu cầu đó. Bảng dưới đây là những thứ ĐI XA HƠN đề tài — nền móng đã dựng sẵn trong repo nên bật lên là chạy, nhưng chúng không nằm trong phạm vi nghiệm thu. Đưa nguyên bảng này vào chương cuối của báo cáo.</t>
        </is>
      </c>
    </row>
    <row r="4" ht="30" customHeight="1">
      <c r="A4" s="4" t="inlineStr">
        <is>
          <t>Hướng mở rộng</t>
        </is>
      </c>
      <c r="B4" s="4" t="inlineStr">
        <is>
          <t>Nền móng ĐÃ CÓ sẵn trong repo</t>
        </is>
      </c>
      <c r="C4" s="4" t="inlineStr">
        <is>
          <t>Còn phải làm gì</t>
        </is>
      </c>
      <c r="D4" s="4" t="inlineStr">
        <is>
          <t>Thời lượng ước tính</t>
        </is>
      </c>
      <c r="E4" s="4" t="inlineStr">
        <is>
          <t>Vì sao không nằm trong 21 ngày</t>
        </is>
      </c>
    </row>
    <row r="5" ht="120" customHeight="1">
      <c r="A5" s="22" t="inlineStr">
        <is>
          <t>Tích hợp hệ thống nghiệp vụ thời gian thực qua giao thức chuẩn MCP — UC021, UC024, UC028</t>
        </is>
      </c>
      <c r="B5" s="23" t="inlineStr">
        <is>
          <t>Bảng integration.mcp_servers và ai.ai_tool_calls đã tạo trong V205 (97 dòng) và V208 (ràng buộc cấu trúc tool_schema_cache), có RLS FORCE và chỉ mục đầy đủ — chỉ đang rỗng. ADR-0005 đã chốt hướng. .claude/rules/mcp.md đã ghi ba lớp danh sách trắng, quy tắc ghim spec_version, quy tắc kiểm toán mọi lời gọi kể cả lần bị chặn. docs/openapi/ai-service-to-java-core.yaml đã khai các path /v1/mcp-servers, /v1/tools, /v1/tool-calls. Master Plan §2.7 mô tả đủ 7 bước. Nhánh ý định 'gọi công cụ' VẪN nằm trong taxonomy 7 nhánh của UC022 và vẫn được phân loại đúng.</t>
        </is>
      </c>
      <c r="C5" s="23" t="inlineStr">
        <is>
          <t>UC021 cấu hình máy chủ + sổ đăng ký công cụ (1 ngày) · UC024 vòng lặp gọi công cụ tối đa 10 lượt + idempotency key (1 ngày) · UC028 ba lớp danh sách trắng + 6 lý do chặn, đấu nối máy chủ thật và kiểm thử phủ định cả ba lớp (1 ngày). Không có rủi ro thiết kế vì hợp đồng và lược đồ đã chốt.</t>
        </is>
      </c>
      <c r="D5" s="24" t="inlineStr">
        <is>
          <t>3 ngày, làm liền một mạch</t>
        </is>
      </c>
      <c r="E5" s="23" t="inlineStr">
        <is>
          <t>Đề tài được duyệt KHÔNG nhắc tới MCP. Đây cũng là nhóm duy nhất mà giá trị demo phụ thuộc vào một hệ thống bên ngoài (máy chủ MCP ở repo riêng mcp-server-mock). Trong 21 ngày, ba ngày đó đổi được lấy chiều sâu cho các use case mà đề tài thực sự yêu cầu.</t>
        </is>
      </c>
    </row>
    <row r="6" ht="120" customHeight="1">
      <c r="A6" s="22" t="inlineStr">
        <is>
          <t>Hoàn thiện kiểm toán khi có tích hợp công cụ</t>
        </is>
      </c>
      <c r="B6" s="23" t="inlineStr">
        <is>
          <t>UC040 đã làm đủ phần áp dụng được: 4 loại tác nhân, 3 mức nghiêm trọng, che PII ở tầng ghi, thu hồi quyền sửa và xoá trên bảng kiểm toán. Hàm hợp nhất nguồn cảnh báo viết sẵn dạng mở rộng được (Ngày 16). Cột guard_latency_ms trên ai_tool_calls đã có từ V209.</t>
        </is>
      </c>
      <c r="C6" s="23" t="inlineStr">
        <is>
          <t>Bật nguồn cảnh báo thứ hai (lời gọi công cụ bị chặn) vào hàm hợp nhất. Không phải sửa lược đồ.</t>
        </is>
      </c>
      <c r="D6" s="24" t="inlineStr">
        <is>
          <t>Nửa ngày, sau khi có UC028</t>
        </is>
      </c>
      <c r="E6" s="23" t="inlineStr">
        <is>
          <t>Trong phạm vi đồ án, nguồn cảnh báo an toàn là safety_flag trên ai_interactions — đã đủ để demo và đo.</t>
        </is>
      </c>
    </row>
    <row r="7" ht="120" customHeight="1">
      <c r="A7" s="22" t="inlineStr">
        <is>
          <t>Bài kiểm thử bảo mật 'quyền công cụ'</t>
        </is>
      </c>
      <c r="B7" s="23" t="inlineStr">
        <is>
          <t>5 bài còn lại đã chạy ở Ngày 17 (cách ly tenant qua ngôn ngữ, cách ly cache, PII trong log, payload không định danh, bộ adversarial).</t>
        </is>
      </c>
      <c r="C7" s="23" t="inlineStr">
        <is>
          <t>Bài thứ 6: kiểm thử phủ định ba lớp danh sách trắng — tool lạ do máy chủ quảng cáo, tool đã tắt theo doanh nghiệp, tool không thuộc ý định hiện tại.</t>
        </is>
      </c>
      <c r="D7" s="24" t="inlineStr">
        <is>
          <t>Nửa ngày, sau khi có UC028</t>
        </is>
      </c>
      <c r="E7" s="23" t="inlineStr">
        <is>
          <t>Không có lời gọi công cụ thì không có gì để kiểm. Trong bảng chỉ số ghi 'không áp dụng' kèm lý do chứ ĐỪNG để ô trống — ô trống đọc như một bài đã bỏ sót.</t>
        </is>
      </c>
    </row>
    <row r="8" ht="120" customHeight="1">
      <c r="A8" s="22" t="inlineStr">
        <is>
          <t>Đa kênh Zalo và Facebook Messenger</t>
        </is>
      </c>
      <c r="B8" s="23" t="inlineStr">
        <is>
          <t>Kiến trúc đã tách kênh khỏi lõi AI: ai_interactions có cột kênh, bảng tổng hợp theo ngày có chiều kênh. Kế hoạch 19 tuần của đồ án đã chốt chỉ tích hợp MỘT kênh, kênh còn lại thiết kế trên giấy qua giao diện ChannelAdapter.</t>
        </is>
      </c>
      <c r="C8" s="23" t="inlineStr">
        <is>
          <t>Webhook + xác thực chữ ký + ánh xạ định danh người dùng của kênh thứ hai. Đây là việc của Track A, module AI không phải sửa gì.</t>
        </is>
      </c>
      <c r="D8" s="24" t="inlineStr">
        <is>
          <t>~1 tuần-người (Track A)</t>
        </is>
      </c>
      <c r="E8" s="23" t="inlineStr">
        <is>
          <t>Đã là quyết định phạm vi của kế hoạch 19 tuần, không phải của 21 ngày này. Module AI phục vụ kênh nào cũng như nhau vì đã tách bạch.</t>
        </is>
      </c>
    </row>
    <row r="9" ht="120" customHeight="1">
      <c r="A9" s="22" t="inlineStr">
        <is>
          <t>Thử nghiệm trên dữ liệu doanh nghiệp thật</t>
        </is>
      </c>
      <c r="B9" s="23" t="inlineStr">
        <is>
          <t>Toàn bộ đường ống nạp tài liệu (UC018–UC020) và quy trình ẩn danh hoá đã sẵn sàng. Ngày 18 có một chỗ dành riêng để nạp nếu xin được dữ liệu.</t>
        </is>
      </c>
      <c r="C9" s="23" t="inlineStr">
        <is>
          <t>Liên hệ doanh nghiệp, xin cam kết bằng văn bản, ẩn danh hoá theo Nghị định 13/2023/NĐ-CP, nạp và đo lại recall@5 trên bộ vàng dựng từ tài liệu thật.</t>
        </is>
      </c>
      <c r="D9" s="24" t="inlineStr">
        <is>
          <t>2–3 ngày, phần lớn là chờ</t>
        </is>
      </c>
      <c r="E9" s="23" t="inlineStr">
        <is>
          <t>Chuẩn đầu ra của đề tài có yêu cầu này. Nhóm đang dùng dữ liệu tự soạn/công khai và PHẢI ghi rõ ranh giới trung thực đó trong báo cáo. Đây là hạng mục nên ưu tiên nhất nếu có thêm thời gian.</t>
        </is>
      </c>
    </row>
    <row r="10" ht="120" customHeight="1">
      <c r="A10" s="22" t="inlineStr">
        <is>
          <t>Triển khai trên cụm Kubernetes</t>
        </is>
      </c>
      <c r="B10" s="23" t="inlineStr">
        <is>
          <t>Hai Dockerfile, compose.inference.yml với requests==limits và healthcheck /ready, cấp vCPU đã chốt bằng benchmark ở Ngày 15.</t>
        </is>
      </c>
      <c r="C10" s="23" t="inlineStr">
        <is>
          <t>Manifest EKS, ALB, ACM, HPA, PDB, IRSA, rolling update/rollback. Xem thêm sheet 'Phạm vi cắt &amp; làm sau'.</t>
        </is>
      </c>
      <c r="D10" s="24" t="inlineStr">
        <is>
          <t>4–5 ngày với 2 người</t>
        </is>
      </c>
      <c r="E10" s="23" t="inlineStr">
        <is>
          <t>Năng lực vận hành, không phải chất lượng module AI. Mọi chỉ tiêu §1.6 đều đo được trên một instance.</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2" customWidth="1" min="1" max="1"/>
    <col width="78" customWidth="1" min="2" max="2"/>
    <col width="14" customWidth="1" min="3" max="3"/>
    <col width="14" customWidth="1" min="4" max="4"/>
    <col width="12" customWidth="1" min="5" max="5"/>
    <col width="14" customWidth="1" min="6" max="6"/>
    <col width="12" customWidth="1" min="7" max="7"/>
    <col width="16" customWidth="1" min="8" max="8"/>
  </cols>
  <sheetData>
    <row r="1" ht="26" customHeight="1">
      <c r="A1" s="2" t="inlineStr">
        <is>
          <t>BẢNG THEO DÕI TIẾN ĐỘ — 21 NGÀY × 2 NGƯỜI = 42 ĐẦU VIỆC</t>
        </is>
      </c>
    </row>
    <row r="2" ht="46" customHeight="1">
      <c r="A2" s="3" t="inlineStr">
        <is>
          <t>Mọi ô số tính bằng công thức từ sheet 'Kế hoạch 21 ngày'. Chỉ cần cập nhật cột Tiến độ ở sheet đó. Lưu ý: file được sinh bằng script nên Excel/Numbers sẽ tính công thức LẦN ĐẦU khi bạn mở — nếu thấy ô trống thì bấm lưu một lần là có số.</t>
        </is>
      </c>
    </row>
    <row r="4" ht="30" customHeight="1">
      <c r="A4" s="4" t="inlineStr">
        <is>
          <t>Tuần</t>
        </is>
      </c>
      <c r="B4" s="4" t="inlineStr">
        <is>
          <t>Trọng tâm</t>
        </is>
      </c>
      <c r="C4" s="4" t="inlineStr">
        <is>
          <t>Tổng đầu việc</t>
        </is>
      </c>
      <c r="D4" s="4" t="inlineStr">
        <is>
          <t>Chưa bắt đầu</t>
        </is>
      </c>
      <c r="E4" s="4" t="inlineStr">
        <is>
          <t>Đang làm</t>
        </is>
      </c>
      <c r="F4" s="4" t="inlineStr">
        <is>
          <t>Hoàn thành</t>
        </is>
      </c>
      <c r="G4" s="4" t="inlineStr">
        <is>
          <t>Trễ hạn</t>
        </is>
      </c>
      <c r="H4" s="4" t="inlineStr">
        <is>
          <t>% Hoàn thành</t>
        </is>
      </c>
    </row>
    <row r="5" ht="62" customHeight="1">
      <c r="A5" s="12" t="inlineStr">
        <is>
          <t>Tuần 1</t>
        </is>
      </c>
      <c r="B5" s="13" t="inlineStr">
        <is>
          <t>NỀN MÓNG CHẠY THẬT + KHO TRI THỨC + ROUTER 2 NHÁNH — A: chạy migration V201–V209, test RLS, session+RLS, encoder ONNX, UC018, UC019, Hybrid Search, FINE-TUNE EMBEDDING · B: chốt 4 mâu thuẫn hợp đồng, tầng suy luận thật, tập test người thật, UC022 (nhánh B + nhánh C) · Ngày 7 để nhẹ làm đệm</t>
        </is>
      </c>
      <c r="C5" s="11">
        <f>COUNTIF('Kế hoạch 21 ngày'!$A$2:$A$43,A5)</f>
        <v/>
      </c>
      <c r="D5" s="11">
        <f>COUNTIFS('Kế hoạch 21 ngày'!$A$2:$A$43,$A5,'Kế hoạch 21 ngày'!$I$2:$I$43,"Chưa bắt đầu")</f>
        <v/>
      </c>
      <c r="E5" s="11">
        <f>COUNTIFS('Kế hoạch 21 ngày'!$A$2:$A$43,$A5,'Kế hoạch 21 ngày'!$I$2:$I$43,"Đang làm")</f>
        <v/>
      </c>
      <c r="F5" s="11">
        <f>COUNTIFS('Kế hoạch 21 ngày'!$A$2:$A$43,$A5,'Kế hoạch 21 ngày'!$I$2:$I$43,"Hoàn thành")</f>
        <v/>
      </c>
      <c r="G5" s="11">
        <f>COUNTIFS('Kế hoạch 21 ngày'!$A$2:$A$43,$A5,'Kế hoạch 21 ngày'!$I$2:$I$43,"Trễ hạn")</f>
        <v/>
      </c>
      <c r="H5" s="25">
        <f>IF(C5=0,0,F5/C5)</f>
        <v/>
      </c>
    </row>
    <row r="6" ht="62" customHeight="1">
      <c r="A6" s="5" t="inlineStr">
        <is>
          <t>Tuần 2</t>
        </is>
      </c>
      <c r="B6" s="6" t="inlineStr">
        <is>
          <t>LUỒNG CHÍNH + NGHIỆP VỤ AI (11 UC) — A: LangGraph 8 node, UC023, UC025, UC027, UC020, UC026, UC041, eval harness · B: AgentState, node route/fastpath/telemetry, UC030, UC029, UC031, UC014</t>
        </is>
      </c>
      <c r="C6" s="15">
        <f>COUNTIF('Kế hoạch 21 ngày'!$A$2:$A$43,A6)</f>
        <v/>
      </c>
      <c r="D6" s="15">
        <f>COUNTIFS('Kế hoạch 21 ngày'!$A$2:$A$43,$A6,'Kế hoạch 21 ngày'!$I$2:$I$43,"Chưa bắt đầu")</f>
        <v/>
      </c>
      <c r="E6" s="15">
        <f>COUNTIFS('Kế hoạch 21 ngày'!$A$2:$A$43,$A6,'Kế hoạch 21 ngày'!$I$2:$I$43,"Đang làm")</f>
        <v/>
      </c>
      <c r="F6" s="15">
        <f>COUNTIFS('Kế hoạch 21 ngày'!$A$2:$A$43,$A6,'Kế hoạch 21 ngày'!$I$2:$I$43,"Hoàn thành")</f>
        <v/>
      </c>
      <c r="G6" s="15">
        <f>COUNTIFS('Kế hoạch 21 ngày'!$A$2:$A$43,$A6,'Kế hoạch 21 ngày'!$I$2:$I$43,"Trễ hạn")</f>
        <v/>
      </c>
      <c r="H6" s="26">
        <f>IF(C6=0,0,F6/C6)</f>
        <v/>
      </c>
    </row>
    <row r="7" ht="62" customHeight="1">
      <c r="A7" s="7" t="inlineStr">
        <is>
          <t>Tuần 3</t>
        </is>
      </c>
      <c r="B7" s="8" t="inlineStr">
        <is>
          <t>ĐO ĐẠC + TRIỂN KHAI + NGHIỆM THU — A: benchmark, giảm image xuống &lt;400 MB, bảo mật, triển khai, load test, báo cáo · B: UC039, UC040, UC006, UC038, tích hợp Track A, soak, video demo 17 UC</t>
        </is>
      </c>
      <c r="C7" s="14">
        <f>COUNTIF('Kế hoạch 21 ngày'!$A$2:$A$43,A7)</f>
        <v/>
      </c>
      <c r="D7" s="14">
        <f>COUNTIFS('Kế hoạch 21 ngày'!$A$2:$A$43,$A7,'Kế hoạch 21 ngày'!$I$2:$I$43,"Chưa bắt đầu")</f>
        <v/>
      </c>
      <c r="E7" s="14">
        <f>COUNTIFS('Kế hoạch 21 ngày'!$A$2:$A$43,$A7,'Kế hoạch 21 ngày'!$I$2:$I$43,"Đang làm")</f>
        <v/>
      </c>
      <c r="F7" s="14">
        <f>COUNTIFS('Kế hoạch 21 ngày'!$A$2:$A$43,$A7,'Kế hoạch 21 ngày'!$I$2:$I$43,"Hoàn thành")</f>
        <v/>
      </c>
      <c r="G7" s="14">
        <f>COUNTIFS('Kế hoạch 21 ngày'!$A$2:$A$43,$A7,'Kế hoạch 21 ngày'!$I$2:$I$43,"Trễ hạn")</f>
        <v/>
      </c>
      <c r="H7" s="27">
        <f>IF(C7=0,0,F7/C7)</f>
        <v/>
      </c>
    </row>
    <row r="8">
      <c r="A8" s="28" t="inlineStr">
        <is>
          <t>TỔNG</t>
        </is>
      </c>
      <c r="B8" s="28" t="inlineStr">
        <is>
          <t>Toàn module AI — 3 tuần × 7 ngày × 2 người</t>
        </is>
      </c>
      <c r="C8" s="4">
        <f>SUM(C5:C7)</f>
        <v/>
      </c>
      <c r="D8" s="4">
        <f>SUM(D5:D7)</f>
        <v/>
      </c>
      <c r="E8" s="4">
        <f>SUM(E5:E7)</f>
        <v/>
      </c>
      <c r="F8" s="4">
        <f>SUM(F5:F7)</f>
        <v/>
      </c>
      <c r="G8" s="4">
        <f>SUM(G5:G7)</f>
        <v/>
      </c>
      <c r="H8" s="29">
        <f>IF(C8=0,0,F8/C8)</f>
        <v/>
      </c>
    </row>
    <row r="10" ht="24" customHeight="1">
      <c r="A10" s="2" t="inlineStr">
        <is>
          <t>TIẾN ĐỘ THEO TỪNG NGƯỜI</t>
        </is>
      </c>
    </row>
    <row r="11" ht="30" customHeight="1">
      <c r="A11" s="4" t="inlineStr">
        <is>
          <t>Người</t>
        </is>
      </c>
      <c r="B11" s="4" t="inlineStr">
        <is>
          <t>Vai trò</t>
        </is>
      </c>
      <c r="C11" s="4" t="inlineStr">
        <is>
          <t>Tổng đầu việc</t>
        </is>
      </c>
      <c r="D11" s="4" t="inlineStr">
        <is>
          <t>Chưa bắt đầu</t>
        </is>
      </c>
      <c r="E11" s="4" t="inlineStr">
        <is>
          <t>Đang làm</t>
        </is>
      </c>
      <c r="F11" s="4" t="inlineStr">
        <is>
          <t>Hoàn thành</t>
        </is>
      </c>
      <c r="G11" s="4" t="inlineStr">
        <is>
          <t>Trễ hạn</t>
        </is>
      </c>
      <c r="H11" s="4" t="inlineStr">
        <is>
          <t>% Hoàn thành</t>
        </is>
      </c>
    </row>
    <row r="12" ht="56" customHeight="1">
      <c r="A12" s="12" t="inlineStr">
        <is>
          <t>Dev A</t>
        </is>
      </c>
      <c r="B12" s="13" t="inlineStr">
        <is>
          <t>Kho tri thức &amp; Trả lời — UC018, 019, 020, 023, 025, 026, 027, 041 (8 UC) + hạ tầng CSDL, RAG, fine-tune, benchmark, triển khai, load test</t>
        </is>
      </c>
      <c r="C12" s="11">
        <f>COUNTIF('Kế hoạch 21 ngày'!$D$2:$D$43,A12)</f>
        <v/>
      </c>
      <c r="D12" s="11">
        <f>COUNTIFS('Kế hoạch 21 ngày'!$D$2:$D$43,$A12,'Kế hoạch 21 ngày'!$I$2:$I$43,"Chưa bắt đầu")</f>
        <v/>
      </c>
      <c r="E12" s="11">
        <f>COUNTIFS('Kế hoạch 21 ngày'!$D$2:$D$43,$A12,'Kế hoạch 21 ngày'!$I$2:$I$43,"Đang làm")</f>
        <v/>
      </c>
      <c r="F12" s="11">
        <f>COUNTIFS('Kế hoạch 21 ngày'!$D$2:$D$43,$A12,'Kế hoạch 21 ngày'!$I$2:$I$43,"Hoàn thành")</f>
        <v/>
      </c>
      <c r="G12" s="11">
        <f>COUNTIFS('Kế hoạch 21 ngày'!$D$2:$D$43,$A12,'Kế hoạch 21 ngày'!$I$2:$I$43,"Trễ hạn")</f>
        <v/>
      </c>
      <c r="H12" s="25">
        <f>IF(C12=0,0,F12/C12)</f>
        <v/>
      </c>
    </row>
    <row r="13" ht="56" customHeight="1">
      <c r="A13" s="5" t="inlineStr">
        <is>
          <t>Dev B</t>
        </is>
      </c>
      <c r="B13" s="6" t="inlineStr">
        <is>
          <t>Định tuyến, Nghiệp vụ &amp; Vận hành — UC006, 014, 022, 029, 030, 031, 038, 039, 040 (9 UC) + hợp đồng, tầng suy luận, CI, telemetry, tích hợp Track A</t>
        </is>
      </c>
      <c r="C13" s="15">
        <f>COUNTIF('Kế hoạch 21 ngày'!$D$2:$D$43,A13)</f>
        <v/>
      </c>
      <c r="D13" s="15">
        <f>COUNTIFS('Kế hoạch 21 ngày'!$D$2:$D$43,$A13,'Kế hoạch 21 ngày'!$I$2:$I$43,"Chưa bắt đầu")</f>
        <v/>
      </c>
      <c r="E13" s="15">
        <f>COUNTIFS('Kế hoạch 21 ngày'!$D$2:$D$43,$A13,'Kế hoạch 21 ngày'!$I$2:$I$43,"Đang làm")</f>
        <v/>
      </c>
      <c r="F13" s="15">
        <f>COUNTIFS('Kế hoạch 21 ngày'!$D$2:$D$43,$A13,'Kế hoạch 21 ngày'!$I$2:$I$43,"Hoàn thành")</f>
        <v/>
      </c>
      <c r="G13" s="15">
        <f>COUNTIFS('Kế hoạch 21 ngày'!$D$2:$D$43,$A13,'Kế hoạch 21 ngày'!$I$2:$I$43,"Trễ hạn")</f>
        <v/>
      </c>
      <c r="H13" s="26">
        <f>IF(C13=0,0,F13/C13)</f>
        <v/>
      </c>
    </row>
    <row r="15" ht="24" customHeight="1">
      <c r="A15" s="2" t="inlineStr">
        <is>
          <t>BA MỐC KIỂM SOÁT — TRƯỢT MỐC LÀ CẮT ĐỘ SÂU NGAY, KHÔNG LÙI LỊCH</t>
        </is>
      </c>
    </row>
    <row r="16" ht="30" customHeight="1">
      <c r="A16" s="4" t="inlineStr">
        <is>
          <t>Mốc</t>
        </is>
      </c>
      <c r="B16" s="4" t="inlineStr">
        <is>
          <t>Hạn</t>
        </is>
      </c>
      <c r="C16" s="4" t="inlineStr">
        <is>
          <t>Điều kiện thoát và hành động khi trượt</t>
        </is>
      </c>
      <c r="D16" s="4" t="inlineStr">
        <is>
          <t>Trạng thái</t>
        </is>
      </c>
      <c r="E16" s="4" t="inlineStr"/>
      <c r="F16" s="4" t="inlineStr"/>
      <c r="G16" s="4" t="inlineStr"/>
      <c r="H16" s="4" t="inlineStr"/>
    </row>
    <row r="17" ht="64" customHeight="1">
      <c r="A17" s="7" t="inlineStr">
        <is>
          <t>M1 — Nền móng + dữ liệu</t>
        </is>
      </c>
      <c r="B17" s="8" t="inlineStr">
        <is>
          <t>Hết Ngày 7 (CN 27/09)</t>
        </is>
      </c>
      <c r="C17" s="8" t="inlineStr">
        <is>
          <t>A: nạp được tài liệu thật vào knowledge.knowledge_chunks · test cách ly tenant XANH trong CI · hybrid thắng dense-only ≥ 5 điểm recall@5 · cổng parity fine-tune ≥ 0,995. B: router chạy trong ai-classify · đã chốt nhánh ship kèm ADR · tập test người thật 200 mẫu đã đóng băng · 4 mâu thuẫn hợp đồng đã chốt thành ADR-0017. TRƯỢT → cắt rerank khỏi Ngày 8 và bỏ semantic cache ở Ngày 16.</t>
        </is>
      </c>
      <c r="D17" s="8" t="n"/>
      <c r="E17" s="8" t="n"/>
      <c r="F17" s="8" t="n"/>
      <c r="G17" s="8" t="n"/>
      <c r="H17" s="8" t="inlineStr">
        <is>
          <t>Chưa bắt đầu</t>
        </is>
      </c>
    </row>
    <row r="18" ht="64" customHeight="1">
      <c r="A18" s="7" t="inlineStr">
        <is>
          <t>M2 — 17/17 UC chạy được</t>
        </is>
      </c>
      <c r="B18" s="8" t="inlineStr">
        <is>
          <t>Hết Ngày 14 (CN 04/10)</t>
        </is>
      </c>
      <c r="C18" s="8" t="inlineStr">
        <is>
          <t>Mọi UC có endpoint hoặc worker chạy + 1 test luồng chính + 1 con số minh chứng; đã quay được demo luồng trả lời và demo luồng lead. TRƯỢT → cắt UC038 (Ngày 17) và dồn Ngày 15–16 sang hoàn thiện UC còn thiếu.</t>
        </is>
      </c>
      <c r="D18" s="8" t="n"/>
      <c r="E18" s="8" t="n"/>
      <c r="F18" s="8" t="n"/>
      <c r="G18" s="8" t="n"/>
      <c r="H18" s="8" t="inlineStr">
        <is>
          <t>Chưa bắt đầu</t>
        </is>
      </c>
    </row>
    <row r="19" ht="64" customHeight="1">
      <c r="A19" s="7" t="inlineStr">
        <is>
          <t>M3 — Nghiệm thu</t>
        </is>
      </c>
      <c r="B19" s="8" t="inlineStr">
        <is>
          <t>Hết Ngày 21 (CN 11/10)</t>
        </is>
      </c>
      <c r="C19" s="8" t="inlineStr">
        <is>
          <t>7/7 chỉ số §1.6 điền đủ · video demo đi qua 17 UC · báo cáo + gói bàn giao 7 hạng mục · dung lượng image ai-service &lt; 400 MB. TRƯỢT → nộp bản có bảng chỉ số ghi rõ chỉ số nào chưa đo và vì sao; KHÔNG để trống ô nào.</t>
        </is>
      </c>
      <c r="D19" s="8" t="n"/>
      <c r="E19" s="8" t="n"/>
      <c r="F19" s="8" t="n"/>
      <c r="G19" s="8" t="n"/>
      <c r="H19" s="8" t="inlineStr">
        <is>
          <t>Chưa bắt đầu</t>
        </is>
      </c>
    </row>
  </sheetData>
  <mergeCells count="7">
    <mergeCell ref="A15:H15"/>
    <mergeCell ref="A2:H2"/>
    <mergeCell ref="A10:H10"/>
    <mergeCell ref="C19:G19"/>
    <mergeCell ref="A1:H1"/>
    <mergeCell ref="C18:G18"/>
    <mergeCell ref="C17:G17"/>
  </mergeCells>
  <dataValidations count="1">
    <dataValidation sqref="H17:H19" showDropDown="0" showInputMessage="0" showErrorMessage="0" allowBlank="1" type="list">
      <formula1>='Danh mục'!$A$2:$A$6</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3"/>
  <sheetViews>
    <sheetView workbookViewId="0">
      <pane ySplit="4" topLeftCell="A5" activePane="bottomLeft" state="frozen"/>
      <selection pane="bottomLeft" activeCell="A1" sqref="A1"/>
    </sheetView>
  </sheetViews>
  <sheetFormatPr baseColWidth="8" defaultRowHeight="15"/>
  <cols>
    <col width="16" customWidth="1" min="1" max="1"/>
    <col width="46" customWidth="1" min="2" max="2"/>
    <col width="62" customWidth="1" min="3" max="3"/>
    <col width="34" customWidth="1" min="4" max="4"/>
    <col width="16" customWidth="1" min="5" max="5"/>
    <col width="18" customWidth="1" min="6" max="6"/>
    <col width="34" customWidth="1" min="7" max="7"/>
    <col width="14" customWidth="1" min="8" max="8"/>
  </cols>
  <sheetData>
    <row r="1" ht="26" customHeight="1">
      <c r="A1" s="2" t="inlineStr">
        <is>
          <t>BẢNG CHỈ SỐ NGHIỆM THU — DÙNG TRỰC TIẾP CHO BÁO CÁO</t>
        </is>
      </c>
    </row>
    <row r="2" ht="46" customHeight="1">
      <c r="A2" s="3" t="inlineStr">
        <is>
          <t>Ô TÔ VÀNG là ô phải điền: 'Giá trị đo được' và 'Kết luận'. Dòng 4 là VÍ DỤ minh hoạ định dạng — xoá trước khi nộp. Đo xong là điền ngay, đừng để dồn tới Ngày 20: số đo không ghi lại là số đo đã mất.</t>
        </is>
      </c>
    </row>
    <row r="4" ht="30" customHeight="1">
      <c r="A4" s="4" t="inlineStr">
        <is>
          <t>Nhóm</t>
        </is>
      </c>
      <c r="B4" s="4" t="inlineStr">
        <is>
          <t>Chỉ số</t>
        </is>
      </c>
      <c r="C4" s="4" t="inlineStr">
        <is>
          <t>Ngưỡng đạt (theo tài liệu)</t>
        </is>
      </c>
      <c r="D4" s="4" t="inlineStr">
        <is>
          <t>Giá trị đo được</t>
        </is>
      </c>
      <c r="E4" s="4" t="inlineStr">
        <is>
          <t>Đo ở Ngày</t>
        </is>
      </c>
      <c r="F4" s="4" t="inlineStr">
        <is>
          <t>Người chịu trách nhiệm</t>
        </is>
      </c>
      <c r="G4" s="4" t="inlineStr">
        <is>
          <t>Nguồn tài liệu</t>
        </is>
      </c>
      <c r="H4" s="4" t="inlineStr">
        <is>
          <t>Kết luận</t>
        </is>
      </c>
    </row>
    <row r="5" ht="34" customHeight="1">
      <c r="A5" s="30" t="inlineStr">
        <is>
          <t>VÍ DỤ</t>
        </is>
      </c>
      <c r="B5" s="9" t="inlineStr">
        <is>
          <t>p95 độ trễ endpoint chat (mẫu điền)</t>
        </is>
      </c>
      <c r="C5" s="10" t="inlineStr">
        <is>
          <t>&lt; 4.000 ms và KHÔNG tăng dần</t>
        </is>
      </c>
      <c r="D5" s="8" t="inlineStr">
        <is>
          <t>3.180 ms — 50 người dùng, 15 phút, độ dốc +0,4%</t>
        </is>
      </c>
      <c r="E5" s="30" t="inlineStr">
        <is>
          <t>Ngày 19</t>
        </is>
      </c>
      <c r="F5" s="30" t="inlineStr">
        <is>
          <t>Dev A</t>
        </is>
      </c>
      <c r="G5" s="10" t="inlineStr">
        <is>
          <t>Master Plan §1.6</t>
        </is>
      </c>
      <c r="H5" s="14" t="inlineStr">
        <is>
          <t>Đạt</t>
        </is>
      </c>
    </row>
    <row r="6" ht="34" customHeight="1">
      <c r="A6" s="14" t="inlineStr">
        <is>
          <t>7 chỉ số §1.6</t>
        </is>
      </c>
      <c r="B6" s="7" t="inlineStr">
        <is>
          <t>p95 độ trễ endpoint chat</t>
        </is>
      </c>
      <c r="C6" s="8" t="inlineStr">
        <is>
          <t>&lt; 4.000 ms và KHÔNG tăng dần</t>
        </is>
      </c>
      <c r="D6" s="8" t="inlineStr"/>
      <c r="E6" s="14" t="inlineStr">
        <is>
          <t>Ngày 19</t>
        </is>
      </c>
      <c r="F6" s="14" t="inlineStr">
        <is>
          <t>Dev A</t>
        </is>
      </c>
      <c r="G6" s="8" t="inlineStr">
        <is>
          <t>Master Plan §1.6, §5.3</t>
        </is>
      </c>
      <c r="H6" s="14" t="inlineStr"/>
    </row>
    <row r="7" ht="34" customHeight="1">
      <c r="A7" s="14" t="inlineStr">
        <is>
          <t>7 chỉ số §1.6</t>
        </is>
      </c>
      <c r="B7" s="7" t="inlineStr">
        <is>
          <t>Tổng p95 phần suy luận CPU</t>
        </is>
      </c>
      <c r="C7" s="8" t="inlineStr">
        <is>
          <t>&lt; 480 ms (classify 60 + embed 120 + rerank 300)</t>
        </is>
      </c>
      <c r="D7" s="8" t="inlineStr"/>
      <c r="E7" s="14" t="inlineStr">
        <is>
          <t>Ngày 13, 15</t>
        </is>
      </c>
      <c r="F7" s="14" t="inlineStr">
        <is>
          <t>Dev A</t>
        </is>
      </c>
      <c r="G7" s="8" t="inlineStr">
        <is>
          <t>Master Plan §1.6, §5.3</t>
        </is>
      </c>
      <c r="H7" s="14" t="inlineStr"/>
    </row>
    <row r="8" ht="34" customHeight="1">
      <c r="A8" s="14" t="inlineStr">
        <is>
          <t>7 chỉ số §1.6</t>
        </is>
      </c>
      <c r="B8" s="7" t="inlineStr">
        <is>
          <t>Tỉ lệ lượt không gọi LLM</t>
        </is>
      </c>
      <c r="C8" s="8" t="inlineStr">
        <is>
          <t>≥ 55%</t>
        </is>
      </c>
      <c r="D8" s="8" t="inlineStr"/>
      <c r="E8" s="14" t="inlineStr">
        <is>
          <t>Ngày 8, 20</t>
        </is>
      </c>
      <c r="F8" s="14" t="inlineStr">
        <is>
          <t>Dev B</t>
        </is>
      </c>
      <c r="G8" s="8" t="inlineStr">
        <is>
          <t>Master Plan §1.6; UC022</t>
        </is>
      </c>
      <c r="H8" s="14" t="inlineStr"/>
    </row>
    <row r="9" ht="34" customHeight="1">
      <c r="A9" s="14" t="inlineStr">
        <is>
          <t>7 chỉ số §1.6</t>
        </is>
      </c>
      <c r="B9" s="7" t="inlineStr">
        <is>
          <t>recall@5 trên bộ vàng</t>
        </is>
      </c>
      <c r="C9" s="8" t="inlineStr">
        <is>
          <t>≥ 0,85 (bộ vàng ≥ 80 cặp)</t>
        </is>
      </c>
      <c r="D9" s="8" t="inlineStr"/>
      <c r="E9" s="14" t="inlineStr">
        <is>
          <t>Ngày 13, 20</t>
        </is>
      </c>
      <c r="F9" s="14" t="inlineStr">
        <is>
          <t>Dev A</t>
        </is>
      </c>
      <c r="G9" s="8" t="inlineStr">
        <is>
          <t>Master Plan §1.6; UC023</t>
        </is>
      </c>
      <c r="H9" s="14" t="inlineStr"/>
    </row>
    <row r="10" ht="34" customHeight="1">
      <c r="A10" s="14" t="inlineStr">
        <is>
          <t>7 chỉ số §1.6</t>
        </is>
      </c>
      <c r="B10" s="7" t="inlineStr">
        <is>
          <t>Độ phủ trích dẫn</t>
        </is>
      </c>
      <c r="C10" s="8" t="inlineStr">
        <is>
          <t>≥ 0,80</t>
        </is>
      </c>
      <c r="D10" s="8" t="inlineStr"/>
      <c r="E10" s="14" t="inlineStr">
        <is>
          <t>Ngày 13, 20</t>
        </is>
      </c>
      <c r="F10" s="14" t="inlineStr">
        <is>
          <t>Dev A</t>
        </is>
      </c>
      <c r="G10" s="8" t="inlineStr">
        <is>
          <t>Master Plan §1.6; UC023</t>
        </is>
      </c>
      <c r="H10" s="14" t="inlineStr"/>
    </row>
    <row r="11" ht="34" customHeight="1">
      <c r="A11" s="14" t="inlineStr">
        <is>
          <t>7 chỉ số §1.6</t>
        </is>
      </c>
      <c r="B11" s="7" t="inlineStr">
        <is>
          <t>Rò rỉ dữ liệu giữa tenant</t>
        </is>
      </c>
      <c r="C11" s="8" t="inlineStr">
        <is>
          <t>0 trường hợp</t>
        </is>
      </c>
      <c r="D11" s="8" t="inlineStr"/>
      <c r="E11" s="14" t="inlineStr">
        <is>
          <t>Ngày 1, 7, 17, 18</t>
        </is>
      </c>
      <c r="F11" s="14" t="inlineStr">
        <is>
          <t>Dev A</t>
        </is>
      </c>
      <c r="G11" s="8" t="inlineStr">
        <is>
          <t>Master Plan §1.6, §4.3; ADR-0001</t>
        </is>
      </c>
      <c r="H11" s="14" t="inlineStr"/>
    </row>
    <row r="12" ht="34" customHeight="1">
      <c r="A12" s="14" t="inlineStr">
        <is>
          <t>7 chỉ số §1.6</t>
        </is>
      </c>
      <c r="B12" s="7" t="inlineStr">
        <is>
          <t>Image ai-service sạch ML runtime</t>
        </is>
      </c>
      <c r="C12" s="8" t="inlineStr">
        <is>
          <t>pip list | grep -E 'onnxruntime|torch|xgboost' RỖNG</t>
        </is>
      </c>
      <c r="D12" s="8" t="inlineStr"/>
      <c r="E12" s="14" t="inlineStr">
        <is>
          <t>Ngày 1, 20</t>
        </is>
      </c>
      <c r="F12" s="14" t="inlineStr">
        <is>
          <t>Dev B</t>
        </is>
      </c>
      <c r="G12" s="8" t="inlineStr">
        <is>
          <t>ADR-0015 mục 4 (bản 3 gói)</t>
        </is>
      </c>
      <c r="H12" s="14" t="inlineStr"/>
    </row>
    <row r="13" ht="34" customHeight="1">
      <c r="A13" s="21" t="inlineStr">
        <is>
          <t>Hợp đồng</t>
        </is>
      </c>
      <c r="B13" s="19" t="inlineStr">
        <is>
          <t>Chốt một bộ tên endpoint</t>
        </is>
      </c>
      <c r="C13" s="20" t="inlineStr">
        <is>
          <t>service.py và docs/openapi/ dùng CÙNG một bộ; redocly lint xanh</t>
        </is>
      </c>
      <c r="D13" s="8" t="inlineStr"/>
      <c r="E13" s="21" t="inlineStr">
        <is>
          <t>Ngày 1</t>
        </is>
      </c>
      <c r="F13" s="21" t="inlineStr">
        <is>
          <t>Dev B</t>
        </is>
      </c>
      <c r="G13" s="20" t="inlineStr">
        <is>
          <t>ADR-0017; ADR-0015 §1</t>
        </is>
      </c>
      <c r="H13" s="14" t="inlineStr"/>
    </row>
    <row r="14" ht="34" customHeight="1">
      <c r="A14" s="21" t="inlineStr">
        <is>
          <t>Hợp đồng</t>
        </is>
      </c>
      <c r="B14" s="19" t="inlineStr">
        <is>
          <t>Chốt bộ tên topic Kafka</t>
        </is>
      </c>
      <c r="C14" s="20" t="inlineStr">
        <is>
          <t>create-topics.sh và docs/events/ khớp nhau; có topic cho vòng phản hồi outcome</t>
        </is>
      </c>
      <c r="D14" s="8" t="inlineStr"/>
      <c r="E14" s="21" t="inlineStr">
        <is>
          <t>Ngày 1</t>
        </is>
      </c>
      <c r="F14" s="21" t="inlineStr">
        <is>
          <t>Dev B</t>
        </is>
      </c>
      <c r="G14" s="20" t="inlineStr">
        <is>
          <t>ADR-0017; docs/contracts/README.md</t>
        </is>
      </c>
      <c r="H14" s="14" t="inlineStr"/>
    </row>
    <row r="15" ht="34" customHeight="1">
      <c r="A15" s="21" t="inlineStr">
        <is>
          <t>Hợp đồng</t>
        </is>
      </c>
      <c r="B15" s="19" t="inlineStr">
        <is>
          <t>Đề xuất 3 cột lead_scores đã gửi Track A</t>
        </is>
      </c>
      <c r="C15" s="20" t="inlineStr">
        <is>
          <t>Gửi trong Ngày 1, có phản hồi trước Ngày 9</t>
        </is>
      </c>
      <c r="D15" s="8" t="inlineStr"/>
      <c r="E15" s="21" t="inlineStr">
        <is>
          <t>Ngày 1</t>
        </is>
      </c>
      <c r="F15" s="21" t="inlineStr">
        <is>
          <t>Dev B</t>
        </is>
      </c>
      <c r="G15" s="20" t="inlineStr">
        <is>
          <t>ADR-0016 QĐ2</t>
        </is>
      </c>
      <c r="H15" s="14" t="inlineStr"/>
    </row>
    <row r="16" ht="34" customHeight="1">
      <c r="A16" s="21" t="inlineStr">
        <is>
          <t>Hạ tầng</t>
        </is>
      </c>
      <c r="B16" s="19" t="inlineStr">
        <is>
          <t>Flyway V201–V209 chạy sạch</t>
        </is>
      </c>
      <c r="C16" s="20" t="inlineStr">
        <is>
          <t>9 dòng trong flyway_schema_history, 6 bảng, đủ chỉ mục</t>
        </is>
      </c>
      <c r="D16" s="8" t="inlineStr"/>
      <c r="E16" s="21" t="inlineStr">
        <is>
          <t>Ngày 1</t>
        </is>
      </c>
      <c r="F16" s="21" t="inlineStr">
        <is>
          <t>Dev A</t>
        </is>
      </c>
      <c r="G16" s="20" t="inlineStr">
        <is>
          <t>ai-service/migration/</t>
        </is>
      </c>
      <c r="H16" s="14" t="inlineStr"/>
    </row>
    <row r="17" ht="34" customHeight="1">
      <c r="A17" s="21" t="inlineStr">
        <is>
          <t>Hạ tầng</t>
        </is>
      </c>
      <c r="B17" s="19" t="inlineStr">
        <is>
          <t>Test cách ly tenant trong CI</t>
        </is>
      </c>
      <c r="C17" s="20" t="inlineStr">
        <is>
          <t>3/3 ca xanh: đọc chéo rỗng, fail-closed khi không SET LOCAL, current_user = ai_app</t>
        </is>
      </c>
      <c r="D17" s="8" t="inlineStr"/>
      <c r="E17" s="21" t="inlineStr">
        <is>
          <t>Ngày 1</t>
        </is>
      </c>
      <c r="F17" s="21" t="inlineStr">
        <is>
          <t>Dev A</t>
        </is>
      </c>
      <c r="G17" s="20" t="inlineStr">
        <is>
          <t>ADR-0001, ADR-0016 QĐ1</t>
        </is>
      </c>
      <c r="H17" s="14" t="inlineStr"/>
    </row>
    <row r="18" ht="34" customHeight="1">
      <c r="A18" s="21" t="inlineStr">
        <is>
          <t>Hạ tầng</t>
        </is>
      </c>
      <c r="B18" s="19" t="inlineStr">
        <is>
          <t>Dung lượng image</t>
        </is>
      </c>
      <c r="C18" s="20" t="inlineStr">
        <is>
          <t>ai-service &lt; 400 MB (đang 776 MB) · ai-inference &lt; 900 MB</t>
        </is>
      </c>
      <c r="D18" s="8" t="inlineStr"/>
      <c r="E18" s="21" t="inlineStr">
        <is>
          <t>Ngày 1, 16, 20</t>
        </is>
      </c>
      <c r="F18" s="21" t="inlineStr">
        <is>
          <t>Dev A</t>
        </is>
      </c>
      <c r="G18" s="20" t="inlineStr">
        <is>
          <t>ADR-0015 mục 6; rule ai-service.md</t>
        </is>
      </c>
      <c r="H18" s="14" t="inlineStr"/>
    </row>
    <row r="19" ht="34" customHeight="1">
      <c r="A19" s="21" t="inlineStr">
        <is>
          <t>Kho tri thức</t>
        </is>
      </c>
      <c r="B19" s="19" t="inlineStr">
        <is>
          <t>Parity cosine ONNX INT8 vs fp32 (encoder base)</t>
        </is>
      </c>
      <c r="C19" s="20" t="inlineStr">
        <is>
          <t>≥ 0,995</t>
        </is>
      </c>
      <c r="D19" s="8" t="inlineStr"/>
      <c r="E19" s="21" t="inlineStr">
        <is>
          <t>Ngày 2</t>
        </is>
      </c>
      <c r="F19" s="21" t="inlineStr">
        <is>
          <t>Dev A</t>
        </is>
      </c>
      <c r="G19" s="20" t="inlineStr">
        <is>
          <t>UC019; Master Plan §5.8</t>
        </is>
      </c>
      <c r="H19" s="14" t="inlineStr"/>
    </row>
    <row r="20" ht="34" customHeight="1">
      <c r="A20" s="21" t="inlineStr">
        <is>
          <t>Kho tri thức</t>
        </is>
      </c>
      <c r="B20" s="19" t="inlineStr">
        <is>
          <t>Số chiều vector khớp lược đồ</t>
        </is>
      </c>
      <c r="C20" s="20" t="inlineStr">
        <is>
          <t>1024 — INSERT thật vào knowledge_chunks không lỗi</t>
        </is>
      </c>
      <c r="D20" s="8" t="inlineStr"/>
      <c r="E20" s="21" t="inlineStr">
        <is>
          <t>Ngày 2</t>
        </is>
      </c>
      <c r="F20" s="21" t="inlineStr">
        <is>
          <t>Dev A</t>
        </is>
      </c>
      <c r="G20" s="20" t="inlineStr">
        <is>
          <t>ADR-0015 mục 5; V203:17</t>
        </is>
      </c>
      <c r="H20" s="14" t="inlineStr"/>
    </row>
    <row r="21" ht="34" customHeight="1">
      <c r="A21" s="21" t="inlineStr">
        <is>
          <t>Kho tri thức</t>
        </is>
      </c>
      <c r="B21" s="19" t="inlineStr">
        <is>
          <t>Suy giảm p95 chat khi đang nạp tài liệu</t>
        </is>
      </c>
      <c r="C21" s="20" t="inlineStr">
        <is>
          <t>≤ 15%</t>
        </is>
      </c>
      <c r="D21" s="8" t="inlineStr"/>
      <c r="E21" s="21" t="inlineStr">
        <is>
          <t>Ngày 7</t>
        </is>
      </c>
      <c r="F21" s="21" t="inlineStr">
        <is>
          <t>Dev B</t>
        </is>
      </c>
      <c r="G21" s="20" t="inlineStr">
        <is>
          <t>UC019; Master Plan §6.4</t>
        </is>
      </c>
      <c r="H21" s="14" t="inlineStr"/>
    </row>
    <row r="22" ht="34" customHeight="1">
      <c r="A22" s="21" t="inlineStr">
        <is>
          <t>Kho tri thức</t>
        </is>
      </c>
      <c r="B22" s="19" t="inlineStr">
        <is>
          <t>Chênh lệch recall@5 (1 tenant vs 20 tenant)</t>
        </is>
      </c>
      <c r="C22" s="20" t="inlineStr">
        <is>
          <t>&lt; 3 điểm</t>
        </is>
      </c>
      <c r="D22" s="8" t="inlineStr"/>
      <c r="E22" s="21" t="inlineStr">
        <is>
          <t>Ngày 6</t>
        </is>
      </c>
      <c r="F22" s="21" t="inlineStr">
        <is>
          <t>Dev A</t>
        </is>
      </c>
      <c r="G22" s="20" t="inlineStr">
        <is>
          <t>Master Plan §4.5</t>
        </is>
      </c>
      <c r="H22" s="14" t="inlineStr"/>
    </row>
    <row r="23" ht="34" customHeight="1">
      <c r="A23" s="21" t="inlineStr">
        <is>
          <t>Kho tri thức</t>
        </is>
      </c>
      <c r="B23" s="19" t="inlineStr">
        <is>
          <t>Thời gian reindex toàn bộ chunk sau đổi model</t>
        </is>
      </c>
      <c r="C23" s="20" t="inlineStr">
        <is>
          <t>Đo thật; 0 giây kho tri thức trống</t>
        </is>
      </c>
      <c r="D23" s="8" t="inlineStr"/>
      <c r="E23" s="21" t="inlineStr">
        <is>
          <t>Ngày 7, 11</t>
        </is>
      </c>
      <c r="F23" s="21" t="inlineStr">
        <is>
          <t>Dev A</t>
        </is>
      </c>
      <c r="G23" s="20" t="inlineStr">
        <is>
          <t>UC020; Master Plan §4.4</t>
        </is>
      </c>
      <c r="H23" s="14" t="inlineStr"/>
    </row>
    <row r="24" ht="34" customHeight="1">
      <c r="A24" s="21" t="inlineStr">
        <is>
          <t>Truy hồi</t>
        </is>
      </c>
      <c r="B24" s="19" t="inlineStr">
        <is>
          <t>Hybrid thắng dense-only</t>
        </is>
      </c>
      <c r="C24" s="20" t="inlineStr">
        <is>
          <t>≥ 5 điểm recall@5</t>
        </is>
      </c>
      <c r="D24" s="8" t="inlineStr"/>
      <c r="E24" s="21" t="inlineStr">
        <is>
          <t>Ngày 6</t>
        </is>
      </c>
      <c r="F24" s="21" t="inlineStr">
        <is>
          <t>Dev A</t>
        </is>
      </c>
      <c r="G24" s="20" t="inlineStr">
        <is>
          <t>Master Plan §6.5; ADR-0006</t>
        </is>
      </c>
      <c r="H24" s="14" t="inlineStr"/>
    </row>
    <row r="25" ht="34" customHeight="1">
      <c r="A25" s="21" t="inlineStr">
        <is>
          <t>Truy hồi</t>
        </is>
      </c>
      <c r="B25" s="19" t="inlineStr">
        <is>
          <t>Baseline recall@5 của model pretrained</t>
        </is>
      </c>
      <c r="C25" s="20" t="inlineStr">
        <is>
          <t>Đo và LƯU trước khi reindex — cột đối chứng của fine-tune</t>
        </is>
      </c>
      <c r="D25" s="8" t="inlineStr"/>
      <c r="E25" s="21" t="inlineStr">
        <is>
          <t>Ngày 6</t>
        </is>
      </c>
      <c r="F25" s="21" t="inlineStr">
        <is>
          <t>Dev A</t>
        </is>
      </c>
      <c r="G25" s="20" t="inlineStr">
        <is>
          <t>Master Plan §6.5</t>
        </is>
      </c>
      <c r="H25" s="14" t="inlineStr"/>
    </row>
    <row r="26" ht="34" customHeight="1">
      <c r="A26" s="21" t="inlineStr">
        <is>
          <t>Truy hồi</t>
        </is>
      </c>
      <c r="B26" s="19" t="inlineStr">
        <is>
          <t>Parity cosine bản FINE-TUNE (INT8 vs fp32)</t>
        </is>
      </c>
      <c r="C26" s="20" t="inlineStr">
        <is>
          <t>≥ 0,995 — không đạt thì rollback về pretrained</t>
        </is>
      </c>
      <c r="D26" s="8" t="inlineStr"/>
      <c r="E26" s="21" t="inlineStr">
        <is>
          <t>Ngày 7</t>
        </is>
      </c>
      <c r="F26" s="21" t="inlineStr">
        <is>
          <t>Dev A</t>
        </is>
      </c>
      <c r="G26" s="20" t="inlineStr">
        <is>
          <t>UC019; Master Plan §5.8</t>
        </is>
      </c>
      <c r="H26" s="14" t="inlineStr"/>
    </row>
    <row r="27" ht="34" customHeight="1">
      <c r="A27" s="21" t="inlineStr">
        <is>
          <t>Truy hồi</t>
        </is>
      </c>
      <c r="B27" s="19" t="inlineStr">
        <is>
          <t>Hiệu số recall@5 fine-tune vs pretrained</t>
        </is>
      </c>
      <c r="C27" s="20" t="inlineStr">
        <is>
          <t>Thắng CÓ Ý NGHĨA THỐNG KÊ: KTC 95% paired bootstrap không chứa 0</t>
        </is>
      </c>
      <c r="D27" s="8" t="inlineStr"/>
      <c r="E27" s="21" t="inlineStr">
        <is>
          <t>Ngày 7</t>
        </is>
      </c>
      <c r="F27" s="21" t="inlineStr">
        <is>
          <t>Dev A</t>
        </is>
      </c>
      <c r="G27" s="20" t="inlineStr">
        <is>
          <t>Master Plan §5.2, §6.5</t>
        </is>
      </c>
      <c r="H27" s="14" t="inlineStr"/>
    </row>
    <row r="28" ht="34" customHeight="1">
      <c r="A28" s="21" t="inlineStr">
        <is>
          <t>Truy hồi</t>
        </is>
      </c>
      <c r="B28" s="19" t="inlineStr">
        <is>
          <t>Cổng quyết định bật rerank</t>
        </is>
      </c>
      <c r="C28" s="20" t="inlineStr">
        <is>
          <t>≥ 5 điểm nDCG@5 VÀ p95 chat &lt; 4s — không đạt thì giữ mặc định TẮT</t>
        </is>
      </c>
      <c r="D28" s="8" t="inlineStr"/>
      <c r="E28" s="21" t="inlineStr">
        <is>
          <t>Ngày 8</t>
        </is>
      </c>
      <c r="F28" s="21" t="inlineStr">
        <is>
          <t>Dev A</t>
        </is>
      </c>
      <c r="G28" s="20" t="inlineStr">
        <is>
          <t>Master Plan §5.9; rule rag-eval.md</t>
        </is>
      </c>
      <c r="H28" s="14" t="inlineStr"/>
    </row>
    <row r="29" ht="34" customHeight="1">
      <c r="A29" s="21" t="inlineStr">
        <is>
          <t>Truy hồi</t>
        </is>
      </c>
      <c r="B29" s="19" t="inlineStr">
        <is>
          <t>30 câu hỏi ngoài phạm vi trả rỗng đúng</t>
        </is>
      </c>
      <c r="C29" s="20" t="inlineStr">
        <is>
          <t>30/30</t>
        </is>
      </c>
      <c r="D29" s="8" t="inlineStr"/>
      <c r="E29" s="21" t="inlineStr">
        <is>
          <t>Ngày 10</t>
        </is>
      </c>
      <c r="F29" s="21" t="inlineStr">
        <is>
          <t>Dev A</t>
        </is>
      </c>
      <c r="G29" s="20" t="inlineStr">
        <is>
          <t>UC025</t>
        </is>
      </c>
      <c r="H29" s="14" t="inlineStr"/>
    </row>
    <row r="30" ht="34" customHeight="1">
      <c r="A30" s="21" t="inlineStr">
        <is>
          <t>Mô hình</t>
        </is>
      </c>
      <c r="B30" s="19" t="inlineStr">
        <is>
          <t>macro-F1 router — HAI nhánh B và C kèm KTC bootstrap</t>
        </is>
      </c>
      <c r="C30" s="20" t="inlineStr">
        <is>
          <t>Chênh &gt; 3 điểm và KTC không chồng lấn thì ship nhánh đó; không chênh có ý nghĩa thì ship nhánh có p95 thấp nhất</t>
        </is>
      </c>
      <c r="D30" s="8" t="inlineStr"/>
      <c r="E30" s="21" t="inlineStr">
        <is>
          <t>Ngày 5</t>
        </is>
      </c>
      <c r="F30" s="21" t="inlineStr">
        <is>
          <t>Dev B</t>
        </is>
      </c>
      <c r="G30" s="20" t="inlineStr">
        <is>
          <t>Master Plan §5.9</t>
        </is>
      </c>
      <c r="H30" s="14" t="inlineStr"/>
    </row>
    <row r="31" ht="34" customHeight="1">
      <c r="A31" s="21" t="inlineStr">
        <is>
          <t>Mô hình</t>
        </is>
      </c>
      <c r="B31" s="19" t="inlineStr">
        <is>
          <t>Độ đồng thuận gán nhãn giữa 2 người</t>
        </is>
      </c>
      <c r="C31" s="20" t="inlineStr">
        <is>
          <t>Báo cáo Cohen's kappa trên tập test 200 mẫu</t>
        </is>
      </c>
      <c r="D31" s="8" t="inlineStr"/>
      <c r="E31" s="21" t="inlineStr">
        <is>
          <t>Ngày 3</t>
        </is>
      </c>
      <c r="F31" s="21" t="inlineStr">
        <is>
          <t>Dev B</t>
        </is>
      </c>
      <c r="G31" s="20" t="inlineStr">
        <is>
          <t>Chỉ có khi làm 2 người</t>
        </is>
      </c>
      <c r="H31" s="14" t="inlineStr"/>
    </row>
    <row r="32" ht="34" customHeight="1">
      <c r="A32" s="21" t="inlineStr">
        <is>
          <t>Mô hình</t>
        </is>
      </c>
      <c r="B32" s="19" t="inlineStr">
        <is>
          <t>Cỡ tập test người thật đã đóng băng</t>
        </is>
      </c>
      <c r="C32" s="20" t="inlineStr">
        <is>
          <t>200 mẫu + sha256 trong DATA_HASHES.txt (ADR-0016 ghi 250 — ghi rõ lý do giảm)</t>
        </is>
      </c>
      <c r="D32" s="8" t="inlineStr"/>
      <c r="E32" s="21" t="inlineStr">
        <is>
          <t>Ngày 2</t>
        </is>
      </c>
      <c r="F32" s="21" t="inlineStr">
        <is>
          <t>Dev B</t>
        </is>
      </c>
      <c r="G32" s="20" t="inlineStr">
        <is>
          <t>ADR-0016; quyết định phạm vi</t>
        </is>
      </c>
      <c r="H32" s="14" t="inlineStr"/>
    </row>
    <row r="33" ht="34" customHeight="1">
      <c r="A33" s="21" t="inlineStr">
        <is>
          <t>Mô hình</t>
        </is>
      </c>
      <c r="B33" s="19" t="inlineStr">
        <is>
          <t>p95 bước phân loại ý định</t>
        </is>
      </c>
      <c r="C33" s="20" t="inlineStr">
        <is>
          <t>≤ 60 ms qua đường remote</t>
        </is>
      </c>
      <c r="D33" s="8" t="inlineStr"/>
      <c r="E33" s="21" t="inlineStr">
        <is>
          <t>Ngày 6, 7</t>
        </is>
      </c>
      <c r="F33" s="21" t="inlineStr">
        <is>
          <t>Dev B</t>
        </is>
      </c>
      <c r="G33" s="20" t="inlineStr">
        <is>
          <t>Master Plan §5.3 dòng 2; UC022</t>
        </is>
      </c>
      <c r="H33" s="14" t="inlineStr"/>
    </row>
    <row r="34" ht="34" customHeight="1">
      <c r="A34" s="21" t="inlineStr">
        <is>
          <t>Mô hình</t>
        </is>
      </c>
      <c r="B34" s="19" t="inlineStr">
        <is>
          <t>p95 nhánh B (XLM-R 278M) trên CPU</t>
        </is>
      </c>
      <c r="C34" s="20" t="inlineStr">
        <is>
          <t>Đo và GHI LẠI kể cả khi vượt 60 ms — vượt thì ship nhánh C và ghi ADR</t>
        </is>
      </c>
      <c r="D34" s="8" t="inlineStr"/>
      <c r="E34" s="21" t="inlineStr">
        <is>
          <t>Ngày 5</t>
        </is>
      </c>
      <c r="F34" s="21" t="inlineStr">
        <is>
          <t>Dev B</t>
        </is>
      </c>
      <c r="G34" s="20" t="inlineStr">
        <is>
          <t>Master Plan §5.3, §5.9</t>
        </is>
      </c>
      <c r="H34" s="14" t="inlineStr"/>
    </row>
    <row r="35" ht="34" customHeight="1">
      <c r="A35" s="21" t="inlineStr">
        <is>
          <t>Mô hình</t>
        </is>
      </c>
      <c r="B35" s="19" t="inlineStr">
        <is>
          <t>Parity ONNX vs sklearn (lead scorer)</t>
        </is>
      </c>
      <c r="C35" s="20" t="inlineStr">
        <is>
          <t>lệch &lt; 1e-4</t>
        </is>
      </c>
      <c r="D35" s="8" t="inlineStr"/>
      <c r="E35" s="21" t="inlineStr">
        <is>
          <t>Ngày 10</t>
        </is>
      </c>
      <c r="F35" s="21" t="inlineStr">
        <is>
          <t>Dev B</t>
        </is>
      </c>
      <c r="G35" s="20" t="inlineStr">
        <is>
          <t>Master Plan §5.10.4</t>
        </is>
      </c>
      <c r="H35" s="14" t="inlineStr"/>
    </row>
    <row r="36" ht="34" customHeight="1">
      <c r="A36" s="21" t="inlineStr">
        <is>
          <t>Mô hình</t>
        </is>
      </c>
      <c r="B36" s="19" t="inlineStr">
        <is>
          <t>p95 endpoint chấm điểm lead</t>
        </is>
      </c>
      <c r="C36" s="20" t="inlineStr">
        <is>
          <t>&lt; 1.000 ms</t>
        </is>
      </c>
      <c r="D36" s="8" t="inlineStr"/>
      <c r="E36" s="21" t="inlineStr">
        <is>
          <t>Ngày 10, 13</t>
        </is>
      </c>
      <c r="F36" s="21" t="inlineStr">
        <is>
          <t>Dev B</t>
        </is>
      </c>
      <c r="G36" s="20" t="inlineStr">
        <is>
          <t>UC030; Master Plan §2.5</t>
        </is>
      </c>
      <c r="H36" s="14" t="inlineStr"/>
    </row>
    <row r="37" ht="34" customHeight="1">
      <c r="A37" s="21" t="inlineStr">
        <is>
          <t>Mô hình</t>
        </is>
      </c>
      <c r="B37" s="19" t="inlineStr">
        <is>
          <t>PR-AUC và Brier score lead scorer</t>
        </is>
      </c>
      <c r="C37" s="20" t="inlineStr">
        <is>
          <t>Ghi MODEL_CARD kèm đường cong hiệu chuẩn + tuyên bố ranh giới trung thực của dữ liệu</t>
        </is>
      </c>
      <c r="D37" s="8" t="inlineStr"/>
      <c r="E37" s="21" t="inlineStr">
        <is>
          <t>Ngày 9</t>
        </is>
      </c>
      <c r="F37" s="21" t="inlineStr">
        <is>
          <t>Dev B</t>
        </is>
      </c>
      <c r="G37" s="20" t="inlineStr">
        <is>
          <t>Master Plan §5.10</t>
        </is>
      </c>
      <c r="H37" s="14" t="inlineStr"/>
    </row>
    <row r="38" ht="34" customHeight="1">
      <c r="A38" s="21" t="inlineStr">
        <is>
          <t>Mô hình</t>
        </is>
      </c>
      <c r="B38" s="19" t="inlineStr">
        <is>
          <t>Tỉ lệ lỗi xác thực JSON Schema (UC029)</t>
        </is>
      </c>
      <c r="C38" s="20" t="inlineStr">
        <is>
          <t>&lt; 2% trên 60 hội thoại</t>
        </is>
      </c>
      <c r="D38" s="8" t="inlineStr"/>
      <c r="E38" s="21" t="inlineStr">
        <is>
          <t>Ngày 11, 13</t>
        </is>
      </c>
      <c r="F38" s="21" t="inlineStr">
        <is>
          <t>Dev B</t>
        </is>
      </c>
      <c r="G38" s="20" t="inlineStr">
        <is>
          <t>UC029; Master Plan §5.11</t>
        </is>
      </c>
      <c r="H38" s="14" t="inlineStr"/>
    </row>
    <row r="39" ht="34" customHeight="1">
      <c r="A39" s="21" t="inlineStr">
        <is>
          <t>Mô hình</t>
        </is>
      </c>
      <c r="B39" s="19" t="inlineStr">
        <is>
          <t>Silhouette và số cụm UC038</t>
        </is>
      </c>
      <c r="C39" s="20" t="inlineStr">
        <is>
          <t>k chọn theo silhouette trong dải 5–25, ghim random_state</t>
        </is>
      </c>
      <c r="D39" s="8" t="inlineStr"/>
      <c r="E39" s="21" t="inlineStr">
        <is>
          <t>Ngày 17</t>
        </is>
      </c>
      <c r="F39" s="21" t="inlineStr">
        <is>
          <t>Dev B</t>
        </is>
      </c>
      <c r="G39" s="20" t="inlineStr">
        <is>
          <t>UC038</t>
        </is>
      </c>
      <c r="H39" s="14" t="inlineStr"/>
    </row>
    <row r="40" ht="34" customHeight="1">
      <c r="A40" s="21" t="inlineStr">
        <is>
          <t>Bảo mật</t>
        </is>
      </c>
      <c r="B40" s="19" t="inlineStr">
        <is>
          <t>detect_injection — báo nhầm câu hỏi bình thường</t>
        </is>
      </c>
      <c r="C40" s="20" t="inlineStr">
        <is>
          <t>&lt; 1% (bộ ≥ 60 mẫu)</t>
        </is>
      </c>
      <c r="D40" s="8" t="inlineStr"/>
      <c r="E40" s="21" t="inlineStr">
        <is>
          <t>Ngày 6</t>
        </is>
      </c>
      <c r="F40" s="21" t="inlineStr">
        <is>
          <t>Dev B</t>
        </is>
      </c>
      <c r="G40" s="20" t="inlineStr">
        <is>
          <t>Master Plan §6.4</t>
        </is>
      </c>
      <c r="H40" s="14" t="inlineStr"/>
    </row>
    <row r="41" ht="34" customHeight="1">
      <c r="A41" s="21" t="inlineStr">
        <is>
          <t>Bảo mật</t>
        </is>
      </c>
      <c r="B41" s="19" t="inlineStr">
        <is>
          <t>Bộ adversarial</t>
        </is>
      </c>
      <c r="C41" s="20" t="inlineStr">
        <is>
          <t>Chặn ≥ 90%, báo nhầm &lt; 2%</t>
        </is>
      </c>
      <c r="D41" s="8" t="inlineStr"/>
      <c r="E41" s="21" t="inlineStr">
        <is>
          <t>Ngày 17</t>
        </is>
      </c>
      <c r="F41" s="21" t="inlineStr">
        <is>
          <t>Dev B</t>
        </is>
      </c>
      <c r="G41" s="20" t="inlineStr">
        <is>
          <t>Master Plan §4.10; rule rag-eval.md</t>
        </is>
      </c>
      <c r="H41" s="14" t="inlineStr"/>
    </row>
    <row r="42" ht="34" customHeight="1">
      <c r="A42" s="21" t="inlineStr">
        <is>
          <t>Bảo mật</t>
        </is>
      </c>
      <c r="B42" s="19" t="inlineStr">
        <is>
          <t>Payload gửi tầng suy luận không chứa định danh</t>
        </is>
      </c>
      <c r="C42" s="20" t="inlineStr">
        <is>
          <t>Assert xanh trong CI</t>
        </is>
      </c>
      <c r="D42" s="8" t="inlineStr"/>
      <c r="E42" s="21" t="inlineStr">
        <is>
          <t>Ngày 17</t>
        </is>
      </c>
      <c r="F42" s="21" t="inlineStr">
        <is>
          <t>Dev B</t>
        </is>
      </c>
      <c r="G42" s="20" t="inlineStr">
        <is>
          <t>Master Plan §4.10, §3.6.3</t>
        </is>
      </c>
      <c r="H42" s="14" t="inlineStr"/>
    </row>
    <row r="43" ht="34" customHeight="1">
      <c r="A43" s="21" t="inlineStr">
        <is>
          <t>Bảo mật</t>
        </is>
      </c>
      <c r="B43" s="19" t="inlineStr">
        <is>
          <t>Cách ly tenant qua ĐƯỜNG NGÔN NGỮ</t>
        </is>
      </c>
      <c r="C43" s="20" t="inlineStr">
        <is>
          <t>Hỏi tenant A về tài liệu của B → phải TỪ CHỐI, không trả lời sai</t>
        </is>
      </c>
      <c r="D43" s="8" t="inlineStr"/>
      <c r="E43" s="21" t="inlineStr">
        <is>
          <t>Ngày 17</t>
        </is>
      </c>
      <c r="F43" s="21" t="inlineStr">
        <is>
          <t>Dev A</t>
        </is>
      </c>
      <c r="G43" s="20" t="inlineStr">
        <is>
          <t>Master Plan §4.10; ADR-0002</t>
        </is>
      </c>
      <c r="H43" s="14" t="inlineStr"/>
    </row>
    <row r="44" ht="34" customHeight="1">
      <c r="A44" s="21" t="inlineStr">
        <is>
          <t>Bảo mật</t>
        </is>
      </c>
      <c r="B44" s="19" t="inlineStr">
        <is>
          <t>Cách ly bộ nhớ đệm ngữ nghĩa</t>
        </is>
      </c>
      <c r="C44" s="20" t="inlineStr">
        <is>
          <t>Cùng câu hỏi từ 2 tenant → 2 câu trả lời từ 2 kho tri thức</t>
        </is>
      </c>
      <c r="D44" s="8" t="inlineStr"/>
      <c r="E44" s="21" t="inlineStr">
        <is>
          <t>Ngày 17</t>
        </is>
      </c>
      <c r="F44" s="21" t="inlineStr">
        <is>
          <t>Dev A</t>
        </is>
      </c>
      <c r="G44" s="20" t="inlineStr">
        <is>
          <t>UC023; khoá cache có tenant_id</t>
        </is>
      </c>
      <c r="H44" s="14" t="inlineStr"/>
    </row>
    <row r="45" ht="34" customHeight="1">
      <c r="A45" s="21" t="inlineStr">
        <is>
          <t>Bảo mật</t>
        </is>
      </c>
      <c r="B45" s="19" t="inlineStr">
        <is>
          <t>PII trong log</t>
        </is>
      </c>
      <c r="C45" s="20" t="inlineStr">
        <is>
          <t>grep tự động = 0 (số điện thoại, email, nội dung tin nhắn thô)</t>
        </is>
      </c>
      <c r="D45" s="8" t="inlineStr"/>
      <c r="E45" s="21" t="inlineStr">
        <is>
          <t>Ngày 16, 17</t>
        </is>
      </c>
      <c r="F45" s="21" t="inlineStr">
        <is>
          <t>Cả hai</t>
        </is>
      </c>
      <c r="G45" s="20" t="inlineStr">
        <is>
          <t>Nghị định 13/2023/NĐ-CP</t>
        </is>
      </c>
      <c r="H45" s="14" t="inlineStr"/>
    </row>
    <row r="46" ht="34" customHeight="1">
      <c r="A46" s="21" t="inlineStr">
        <is>
          <t>Bảo mật</t>
        </is>
      </c>
      <c r="B46" s="19" t="inlineStr">
        <is>
          <t>Năm bài kiểm thử bảo mật áp dụng được</t>
        </is>
      </c>
      <c r="C46" s="20" t="inlineStr">
        <is>
          <t>5/5 ĐẠT (bài về quyền công cụ thuộc sheet 'Mở rộng sau đồ án', ghi 'không áp dụng' kèm lý do)</t>
        </is>
      </c>
      <c r="D46" s="8" t="inlineStr"/>
      <c r="E46" s="21" t="inlineStr">
        <is>
          <t>Ngày 17, 20</t>
        </is>
      </c>
      <c r="F46" s="21" t="inlineStr">
        <is>
          <t>Cả hai</t>
        </is>
      </c>
      <c r="G46" s="20" t="inlineStr">
        <is>
          <t>Master Plan §4.10</t>
        </is>
      </c>
      <c r="H46" s="14" t="inlineStr"/>
    </row>
    <row r="47" ht="34" customHeight="1">
      <c r="A47" s="21" t="inlineStr">
        <is>
          <t>Bảo mật</t>
        </is>
      </c>
      <c r="B47" s="19" t="inlineStr">
        <is>
          <t>Bảng kiểm toán chỉ-ghi-thêm</t>
        </is>
      </c>
      <c r="C47" s="20" t="inlineStr">
        <is>
          <t>Chứng minh đã THU HỒI quyền UPDATE và DELETE</t>
        </is>
      </c>
      <c r="D47" s="8" t="inlineStr"/>
      <c r="E47" s="21" t="inlineStr">
        <is>
          <t>Ngày 16</t>
        </is>
      </c>
      <c r="F47" s="21" t="inlineStr">
        <is>
          <t>Dev B</t>
        </is>
      </c>
      <c r="G47" s="20" t="inlineStr">
        <is>
          <t>UC040</t>
        </is>
      </c>
      <c r="H47" s="14" t="inlineStr"/>
    </row>
    <row r="48" ht="34" customHeight="1">
      <c r="A48" s="21" t="inlineStr">
        <is>
          <t>Vận hành</t>
        </is>
      </c>
      <c r="B48" s="19" t="inlineStr">
        <is>
          <t>Baseline 10 người dùng / 10 phút</t>
        </is>
      </c>
      <c r="C48" s="20" t="inlineStr">
        <is>
          <t>p95 &lt; 2.500 ms, lỗi 0%</t>
        </is>
      </c>
      <c r="D48" s="8" t="inlineStr"/>
      <c r="E48" s="21" t="inlineStr">
        <is>
          <t>Ngày 19</t>
        </is>
      </c>
      <c r="F48" s="21" t="inlineStr">
        <is>
          <t>Dev A</t>
        </is>
      </c>
      <c r="G48" s="20" t="inlineStr">
        <is>
          <t>Master Plan §6.8</t>
        </is>
      </c>
      <c r="H48" s="14" t="inlineStr"/>
    </row>
    <row r="49" ht="34" customHeight="1">
      <c r="A49" s="21" t="inlineStr">
        <is>
          <t>Vận hành</t>
        </is>
      </c>
      <c r="B49" s="19" t="inlineStr">
        <is>
          <t>Tải mục tiêu 50 người dùng / 15 phút</t>
        </is>
      </c>
      <c r="C49" s="20" t="inlineStr">
        <is>
          <t>p95 &lt; 4.000 ms, lỗi &lt; 1%, KHÔNG tăng dần</t>
        </is>
      </c>
      <c r="D49" s="8" t="inlineStr"/>
      <c r="E49" s="21" t="inlineStr">
        <is>
          <t>Ngày 19</t>
        </is>
      </c>
      <c r="F49" s="21" t="inlineStr">
        <is>
          <t>Dev A</t>
        </is>
      </c>
      <c r="G49" s="20" t="inlineStr">
        <is>
          <t>Master Plan §6.8 (rút gọn từ 30 phút)</t>
        </is>
      </c>
      <c r="H49" s="14" t="inlineStr"/>
    </row>
    <row r="50" ht="34" customHeight="1">
      <c r="A50" s="21" t="inlineStr">
        <is>
          <t>Vận hành</t>
        </is>
      </c>
      <c r="B50" s="19" t="inlineStr">
        <is>
          <t>Soak 30 người dùng / 1 giờ</t>
        </is>
      </c>
      <c r="C50" s="20" t="inlineStr">
        <is>
          <t>Đồ thị p95 PHẲNG, RSS không tăng</t>
        </is>
      </c>
      <c r="D50" s="8" t="inlineStr"/>
      <c r="E50" s="21" t="inlineStr">
        <is>
          <t>Ngày 19</t>
        </is>
      </c>
      <c r="F50" s="21" t="inlineStr">
        <is>
          <t>Dev B</t>
        </is>
      </c>
      <c r="G50" s="20" t="inlineStr">
        <is>
          <t>Master Plan §6.8 (rút gọn từ 4 giờ)</t>
        </is>
      </c>
      <c r="H50" s="14" t="inlineStr"/>
    </row>
    <row r="51" ht="34" customHeight="1">
      <c r="A51" s="21" t="inlineStr">
        <is>
          <t>Vận hành</t>
        </is>
      </c>
      <c r="B51" s="19" t="inlineStr">
        <is>
          <t>Hai kịch bản đứt kết nối</t>
        </is>
      </c>
      <c r="C51" s="20" t="inlineStr">
        <is>
          <t>0 lỗi 5xx tới người dùng</t>
        </is>
      </c>
      <c r="D51" s="8" t="inlineStr"/>
      <c r="E51" s="21" t="inlineStr">
        <is>
          <t>Ngày 19</t>
        </is>
      </c>
      <c r="F51" s="21" t="inlineStr">
        <is>
          <t>Dev B</t>
        </is>
      </c>
      <c r="G51" s="20" t="inlineStr">
        <is>
          <t>Master Plan §3.8.1</t>
        </is>
      </c>
      <c r="H51" s="14" t="inlineStr"/>
    </row>
    <row r="52" ht="34" customHeight="1">
      <c r="A52" s="21" t="inlineStr">
        <is>
          <t>Vận hành</t>
        </is>
      </c>
      <c r="B52" s="19" t="inlineStr">
        <is>
          <t>Ma trận suy giảm</t>
        </is>
      </c>
      <c r="C52" s="20" t="inlineStr">
        <is>
          <t>3/3 trường hợp đúng hành vi (tắt embed / rerank / classify)</t>
        </is>
      </c>
      <c r="D52" s="8" t="inlineStr"/>
      <c r="E52" s="21" t="inlineStr">
        <is>
          <t>Ngày 14</t>
        </is>
      </c>
      <c r="F52" s="21" t="inlineStr">
        <is>
          <t>Dev B</t>
        </is>
      </c>
      <c r="G52" s="20" t="inlineStr">
        <is>
          <t>Master Plan §3.8.1</t>
        </is>
      </c>
      <c r="H52" s="14" t="inlineStr"/>
    </row>
    <row r="53" ht="34" customHeight="1">
      <c r="A53" s="21" t="inlineStr">
        <is>
          <t>Vận hành</t>
        </is>
      </c>
      <c r="B53" s="19" t="inlineStr">
        <is>
          <t>Giao nhận Kafka đúng một lần về hiệu lực</t>
        </is>
      </c>
      <c r="C53" s="20" t="inlineStr">
        <is>
          <t>Restart giữa job index: job hoàn tất hoặc nhận lại NGUYÊN VẸN; DLQ hoạt động</t>
        </is>
      </c>
      <c r="D53" s="8" t="inlineStr"/>
      <c r="E53" s="21" t="inlineStr">
        <is>
          <t>Ngày 5, 14</t>
        </is>
      </c>
      <c r="F53" s="21" t="inlineStr">
        <is>
          <t>Dev B</t>
        </is>
      </c>
      <c r="G53" s="20" t="inlineStr">
        <is>
          <t>rule kafka-events.md</t>
        </is>
      </c>
      <c r="H53" s="14" t="inlineStr"/>
    </row>
    <row r="54" ht="34" customHeight="1">
      <c r="A54" s="21" t="inlineStr">
        <is>
          <t>Vận hành</t>
        </is>
      </c>
      <c r="B54" s="19" t="inlineStr">
        <is>
          <t>Runbook 4 quy trình</t>
        </is>
      </c>
      <c r="C54" s="20" t="inlineStr">
        <is>
          <t>Mỗi quy trình đã chạy thật ít nhất một lần</t>
        </is>
      </c>
      <c r="D54" s="8" t="inlineStr"/>
      <c r="E54" s="21" t="inlineStr">
        <is>
          <t>Ngày 19</t>
        </is>
      </c>
      <c r="F54" s="21" t="inlineStr">
        <is>
          <t>Dev B</t>
        </is>
      </c>
      <c r="G54" s="20" t="inlineStr">
        <is>
          <t>Gói bàn giao</t>
        </is>
      </c>
      <c r="H54" s="14" t="inlineStr"/>
    </row>
    <row r="55" ht="34" customHeight="1">
      <c r="A55" s="21" t="inlineStr">
        <is>
          <t>Phạm vi</t>
        </is>
      </c>
      <c r="B55" s="19" t="inlineStr">
        <is>
          <t>Số use case hoàn thành</t>
        </is>
      </c>
      <c r="C55" s="20" t="inlineStr">
        <is>
          <t>17/17 UC trong phạm vi đồ án</t>
        </is>
      </c>
      <c r="D55" s="8" t="inlineStr"/>
      <c r="E55" s="21" t="inlineStr">
        <is>
          <t>Ngày 20</t>
        </is>
      </c>
      <c r="F55" s="21" t="inlineStr">
        <is>
          <t>Cả hai</t>
        </is>
      </c>
      <c r="G55" s="20" t="inlineStr">
        <is>
          <t>Quyết định phạm vi, ghi ADR</t>
        </is>
      </c>
      <c r="H55" s="14" t="inlineStr"/>
    </row>
    <row r="56" ht="34" customHeight="1">
      <c r="A56" s="21" t="inlineStr">
        <is>
          <t>Phạm vi</t>
        </is>
      </c>
      <c r="B56" s="19" t="inlineStr">
        <is>
          <t>Nhánh ý định 'gọi công cụ' được xử lý đúng</t>
        </is>
      </c>
      <c r="C56" s="20" t="inlineStr">
        <is>
          <t>Phân loại đúng, định tuyến sang handoff lý do 'cần duyệt thao tác ghi'</t>
        </is>
      </c>
      <c r="D56" s="8" t="inlineStr"/>
      <c r="E56" s="21" t="inlineStr">
        <is>
          <t>Ngày 6</t>
        </is>
      </c>
      <c r="F56" s="21" t="inlineStr">
        <is>
          <t>Dev B</t>
        </is>
      </c>
      <c r="G56" s="20" t="inlineStr">
        <is>
          <t>UC022 + UC014</t>
        </is>
      </c>
      <c r="H56" s="14" t="inlineStr"/>
    </row>
    <row r="57" ht="34" customHeight="1">
      <c r="A57" s="21" t="inlineStr">
        <is>
          <t>Phạm vi</t>
        </is>
      </c>
      <c r="B57" s="19" t="inlineStr">
        <is>
          <t>Nguồn dữ liệu thử nghiệm được tuyên bố rõ</t>
        </is>
      </c>
      <c r="C57" s="20" t="inlineStr">
        <is>
          <t>Ghi rõ là tự soạn/công khai hay dữ liệu doanh nghiệp đã ẩn danh</t>
        </is>
      </c>
      <c r="D57" s="8" t="inlineStr"/>
      <c r="E57" s="21" t="inlineStr">
        <is>
          <t>Ngày 18, 21</t>
        </is>
      </c>
      <c r="F57" s="21" t="inlineStr">
        <is>
          <t>Cả hai</t>
        </is>
      </c>
      <c r="G57" s="20" t="inlineStr">
        <is>
          <t>Chuẩn đầu ra đề tài; Nghị định 13</t>
        </is>
      </c>
      <c r="H57" s="14" t="inlineStr"/>
    </row>
    <row r="58" ht="34" customHeight="1">
      <c r="A58" s="21" t="inlineStr">
        <is>
          <t>Chất lượng</t>
        </is>
      </c>
      <c r="B58" s="19" t="inlineStr">
        <is>
          <t>Test của Dev B gom thành một lệnh</t>
        </is>
      </c>
      <c r="C58" s="20" t="inlineStr">
        <is>
          <t>Chạy hết, xuất pass/fail theo từng UC</t>
        </is>
      </c>
      <c r="D58" s="8" t="inlineStr"/>
      <c r="E58" s="21" t="inlineStr">
        <is>
          <t>Ngày 13</t>
        </is>
      </c>
      <c r="F58" s="21" t="inlineStr">
        <is>
          <t>Dev B</t>
        </is>
      </c>
      <c r="G58" s="20" t="inlineStr">
        <is>
          <t>Quy trình chất lượng nội bộ</t>
        </is>
      </c>
      <c r="H58" s="14" t="inlineStr"/>
    </row>
    <row r="59" ht="34" customHeight="1">
      <c r="A59" s="21" t="inlineStr">
        <is>
          <t>Chất lượng</t>
        </is>
      </c>
      <c r="B59" s="19" t="inlineStr">
        <is>
          <t>Eval harness tái lập được</t>
        </is>
      </c>
      <c r="C59" s="20" t="inlineStr">
        <is>
          <t>Chạy 2 lần ra cùng con số; mỗi số liệu kèm file config</t>
        </is>
      </c>
      <c r="D59" s="8" t="inlineStr"/>
      <c r="E59" s="21" t="inlineStr">
        <is>
          <t>Ngày 13, 20</t>
        </is>
      </c>
      <c r="F59" s="21" t="inlineStr">
        <is>
          <t>Dev A</t>
        </is>
      </c>
      <c r="G59" s="20" t="inlineStr">
        <is>
          <t>rule rag-eval.md</t>
        </is>
      </c>
      <c r="H59" s="14" t="inlineStr"/>
    </row>
    <row r="61">
      <c r="B61" s="1" t="inlineStr">
        <is>
          <t>Số chỉ số đã ĐẠT</t>
        </is>
      </c>
      <c r="C61" s="31">
        <f>COUNTIF(H6:H59,"Đạt")</f>
        <v/>
      </c>
    </row>
    <row r="62">
      <c r="B62" s="1" t="inlineStr">
        <is>
          <t>Tổng số chỉ số theo dõi (không tính dòng VÍ DỤ)</t>
        </is>
      </c>
      <c r="C62" s="31" t="n">
        <v>54</v>
      </c>
    </row>
    <row r="63">
      <c r="B63" s="1" t="inlineStr">
        <is>
          <t>Trong đó: 7 chỉ số nghiệm thu §1.6</t>
        </is>
      </c>
      <c r="C63" s="31">
        <f>COUNTIF(A6:A59,"7 chỉ số §1.6")</f>
        <v/>
      </c>
    </row>
  </sheetData>
  <autoFilter ref="A4:H59"/>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 customWidth="1" min="1" max="1"/>
    <col width="40" customWidth="1" min="2" max="2"/>
    <col width="120" customWidth="1" min="3" max="3"/>
  </cols>
  <sheetData>
    <row r="1" ht="26" customHeight="1">
      <c r="A1" s="2" t="inlineStr">
        <is>
          <t>KẾ HOẠCH 21 NGÀY — 2 NGƯỜI — 17 USE CASE MODULE AI</t>
        </is>
      </c>
    </row>
    <row r="2" ht="44" customHeight="1">
      <c r="A2" s="3" t="inlineStr">
        <is>
          <t>Ngày 1 = 21/09/2026 (T2) · Ngày 21 = 11/10/2026 (CN) · 21 ngày lịch liên tục. Soạn ngày 20/09/2026 từ trạng thái THẬT của repo (xem sheet 'Trạng thái xuất phát'). Nguồn: MASTER_PLAN_AI_CRM_v8, Đặc tả Use Case Module AI, ADR-0015 và ADR-0016.</t>
        </is>
      </c>
    </row>
    <row r="4" ht="24" customHeight="1">
      <c r="B4" s="32" t="inlineStr">
        <is>
          <t>1. ĐỌC TRƯỚC KHI BẮT ĐẦU — MỨC ĐỘ CĂNG CỦA LỊCH NÀY</t>
        </is>
      </c>
    </row>
    <row r="5" ht="30" customHeight="1">
      <c r="B5" s="33" t="inlineStr">
        <is>
          <t>Con số trần trụi</t>
        </is>
      </c>
      <c r="C5" s="34" t="inlineStr">
        <is>
          <t>42 người-ngày cho 17 use case + nền móng + báo cáo, tức khoảng 2 người-ngày mỗi use case đã tính cả hạ tầng. Lịch này chỉ khả thi nếu cả hai làm toàn thời gian, ngày dài, và KHÔNG có ngày đệm thuần nào.</t>
        </is>
      </c>
    </row>
    <row r="6" ht="39" customHeight="1">
      <c r="B6" s="33" t="inlineStr">
        <is>
          <t>Điểm xuất phát không phải số 0</t>
        </is>
      </c>
      <c r="C6" s="34" t="inlineStr">
        <is>
          <t>Repo đã có 9 file migration chạy được, RLS FORCE trên 6 bảng, CI với cổng chặn ML runtime, hai Dockerfile, cấu hình + log + metric + DI. Nhưng code AI thì gần như chưa có dòng nào: 30/42 file Python chỉ là docstring, tests/ có 0 test, inference/ chạy là crash. ĐỌC SHEET 'Trạng thái xuất phát' TRƯỚC.</t>
        </is>
      </c>
    </row>
    <row r="7" ht="30" customHeight="1">
      <c r="B7" s="33" t="inlineStr">
        <is>
          <t>Mức hoàn thành tối thiểu mỗi UC</t>
        </is>
      </c>
      <c r="C7" s="34" t="inlineStr">
        <is>
          <t>Endpoint hoặc worker chạy được + 1 test chứng minh luồng chính + 1 con số minh chứng. Đạt ba thứ đó là UC được tính. ĐỪNG làm sâu hơn mức này cho tới khi cả 17 UC đều đạt.</t>
        </is>
      </c>
    </row>
    <row r="8" ht="30" customHeight="1">
      <c r="B8" s="33" t="inlineStr">
        <is>
          <t>Không còn đệm</t>
        </is>
      </c>
      <c r="C8" s="34" t="inlineStr">
        <is>
          <t>Chỉ có 3 ngày tích hợp + báo cáo (Ngày 7, 14, 21) và chúng cũng là ngày làm việc. Một ngày trượt phải xử lý bằng CẮT ĐỘ SÂU ngay trong ngày, không được lùi sang ngày sau — vì ngày sau đã đầy.</t>
        </is>
      </c>
    </row>
    <row r="10" ht="24" customHeight="1">
      <c r="B10" s="32" t="inlineStr">
        <is>
          <t>2. BẢY ĐIỀU ĐÃ CHỐT BỞI ADR-0015 VÀ ADR-0016 — ĐỪNG MỞ LẠI</t>
        </is>
      </c>
    </row>
    <row r="11" ht="30" customHeight="1">
      <c r="B11" s="33" t="inlineStr">
        <is>
          <t>Số chiều vector = 1024</t>
        </is>
      </c>
      <c r="C11" s="34" t="inlineStr">
        <is>
          <t>KHÔNG phải 768 như Master Plan §4.2. Cột embedding vector(1024) đã tồn tại trong V203 dòng 17. Hệ quả: encoder chọn ở Ngày 2 PHẢI cho ra 1024 chiều.</t>
        </is>
      </c>
    </row>
    <row r="12" ht="30" customHeight="1">
      <c r="B12" s="33" t="inlineStr">
        <is>
          <t>Schema kho tri thức = knowledge.knowledge_*</t>
        </is>
      </c>
      <c r="C12" s="34" t="inlineStr">
        <is>
          <t>knowledge.knowledge_documents và knowledge.knowledge_chunks, KHÔNG phải ai.documents / ai.chunks như Master Plan viết. Bản kế hoạch cũ ghi sai chỗ này ở nhiều dòng.</t>
        </is>
      </c>
    </row>
    <row r="13" ht="30" customHeight="1">
      <c r="B13" s="33" t="inlineStr">
        <is>
          <t>Công cụ migration = Flyway dải V2xx</t>
        </is>
      </c>
      <c r="C13" s="34" t="inlineStr">
        <is>
          <t>KHÔNG phải Alembic như §3.9.2 vẽ. V201–V209 đã viết xong và phải chạy được ở Ngày 1. Migration mới BẮT ĐẦU TỪ V210. Không bao giờ ghi vào dải V1xx của Track A.</t>
        </is>
      </c>
    </row>
    <row r="14" ht="39" customHeight="1">
      <c r="B14" s="33" t="inlineStr">
        <is>
          <t>Cổng chặn CI = 3 gói</t>
        </is>
      </c>
      <c r="C14" s="34" t="inlineStr">
        <is>
          <t>onnxruntime | torch | xgboost. KHÔNG phải bản 6 gói của §3.2 và cũng không phải bản 5 gói của .claude/rules/ai-service.md. Lý do: scikit-learn là phụ thuộc GIÁN TIẾP của pyvi mà rag/tsquery cần. Luật vẫn giữ: cấm import sklearn trong src/ để suy luận.</t>
        </is>
      </c>
    </row>
    <row r="15" ht="30" customHeight="1">
      <c r="B15" s="33" t="inlineStr">
        <is>
          <t>Role runtime = ai_app</t>
        </is>
      </c>
      <c r="C15" s="34" t="inlineStr">
        <is>
          <t>KHÔNG phải ai_service như Master Plan §4.2/§4.3 viết. Tính chất quan trọng không phải cái tên mà là role runtime KHÔNG ĐƯỢC là chủ bảng — chủ bảng bypass RLS kể cả khi đã FORCE. crm_owner chỉ dành cho Flyway.</t>
        </is>
      </c>
    </row>
    <row r="16" ht="39" customHeight="1">
      <c r="B16" s="33" t="inlineStr">
        <is>
          <t>Không tạo bảng ai.lead_features</t>
        </is>
      </c>
      <c r="C16" s="34" t="inlineStr">
        <is>
          <t>Master Plan §5.10.2 mô tả bảng này nhưng nó chưa từng được tạo và sẽ không tạo. Nhãn huấn luyện nằm ở sales.lead_scores của Track A + 3 cột rule_score/outcome/outcome_at đề xuất thêm. ai-service ghi QUA API, KHÔNG ghi thẳng (ADR-0002).</t>
        </is>
      </c>
    </row>
    <row r="17" ht="30" customHeight="1">
      <c r="B17" s="33" t="inlineStr">
        <is>
          <t>Bố cục src/ chứ không app/</t>
        </is>
      </c>
      <c r="C17" s="34" t="inlineStr">
        <is>
          <t>src/ai/service.py là FACADE DUY NHẤT; schemas.py là một FILE chứ không phải thư mục; src/ai/ không import src.api hay src.worker; api/ và worker/ không import chéo. CI kiểm hai luật này bằng grep.</t>
        </is>
      </c>
    </row>
    <row r="19" ht="24" customHeight="1">
      <c r="B19" s="32" t="inlineStr">
        <is>
          <t>3. BỐN THỨ PHẢI CHỐT TRONG NGÀY 1 — KHÔNG ĐƯỢC HOÃN</t>
        </is>
      </c>
    </row>
    <row r="20" ht="39" customHeight="1">
      <c r="B20" s="33" t="inlineStr">
        <is>
          <t>Một bộ tên endpoint</t>
        </is>
      </c>
      <c r="C20" s="34" t="inlineStr">
        <is>
          <t>Hiện LỆCH hai bộ: src/ai/service.py ghi /v1/ai/chat, /v1/ai/kb/documents; hợp đồng trong docs/openapi/ ghi /v1/answer, /v1/documents/ingest. Route đầu tiên viết ở Ngày 3 — chốt muộn thì phải sửa cả code lẫn hợp đồng lẫn phần Track A đã gọi.</t>
        </is>
      </c>
    </row>
    <row r="21" ht="39" customHeight="1">
      <c r="B21" s="33" t="inlineStr">
        <is>
          <t>Bộ tên topic Kafka</t>
        </is>
      </c>
      <c r="C21" s="34" t="inlineStr">
        <is>
          <t>Repo có 5 topic crm.*.v1, Master Plan §2.6 khai 8. Bản kế hoạch trước hoãn việc này tới 'Ngày 12' — không hoãn được nữa vì consumer đầu tiên viết ở Ngày 5. Nhớ thêm topic cho vòng phản hồi khi deal đóng: nó KHÔNG có trong cả hai bộ hiện tại mà UC030 cần nó ở Ngày 18.</t>
        </is>
      </c>
    </row>
    <row r="22" ht="30" customHeight="1">
      <c r="B22" s="33" t="inlineStr">
        <is>
          <t>Chỗ đặt bộ vàng</t>
        </is>
      </c>
      <c r="C22" s="34" t="inlineStr">
        <is>
          <t>tests/eval/golden_set.jsonl (theo .claude/rules/rag-eval.md) hay data/golden_qa.jsonl (theo CLAUDE.md gốc)? Hai chỗ đang song song, một file rỗng một file chưa tồn tại. Chọn MỘT và xoá nhắc tới cái kia.</t>
        </is>
      </c>
    </row>
    <row r="23" ht="39" customHeight="1">
      <c r="B23" s="33" t="inlineStr">
        <is>
          <t>Cỡ tập test người thật</t>
        </is>
      </c>
      <c r="C23" s="34" t="inlineStr">
        <is>
          <t>ADR-0016 ghi không dưới 250 mẫu, dựa trên giả định 3 người gõ. Nhóm có 2 người và lịch 21 ngày chỉ vừa 200. Chốt 200 và GHI RÕ lý do vào ADR phạm vi + báo cáo. Im lặng rồi nộp 200 mới là thứ mất điểm, chứ không phải bản thân con số 200.</t>
        </is>
      </c>
    </row>
    <row r="25" ht="24" customHeight="1">
      <c r="B25" s="32" t="inlineStr">
        <is>
          <t>4. VÌ SAO MCP NẰM Ở SHEET 'MỞ RỘNG SAU ĐỒ ÁN'</t>
        </is>
      </c>
    </row>
    <row r="26" ht="39" customHeight="1">
      <c r="B26" s="33" t="inlineStr">
        <is>
          <t>Lý do chính</t>
        </is>
      </c>
      <c r="C26" s="34" t="inlineStr">
        <is>
          <t>Đề tài được duyệt không nhắc tới MCP. Mô tả, mục tiêu và chuẩn đầu ra của đề tài yêu cầu: chatbot LLM tích hợp CRM, RAG trên dữ liệu riêng doanh nghiệp, phân loại và ghi nhận khách hàng tiềm năng, dashboard thống kê, đa kênh. 17 use case trong sheet kế hoạch phủ trọn phần module AI của các yêu cầu đó.</t>
        </is>
      </c>
    </row>
    <row r="27" ht="39" customHeight="1">
      <c r="B27" s="33" t="inlineStr">
        <is>
          <t>Lý do kỹ thuật</t>
        </is>
      </c>
      <c r="C27" s="34" t="inlineStr">
        <is>
          <t>Đây là nhóm duy nhất trong 20 UC mà giá trị demo phụ thuộc vào một hệ thống BÊN NGOÀI (máy chủ MCP ở repo riêng mcp-server-mock). Ba use case UC021/UC024/UC028 chỉ có giá trị khi đi cùng nhau, nên tách cả nhóm gọn hơn nhiều so với làm dở một phần.</t>
        </is>
      </c>
    </row>
    <row r="28" ht="52" customHeight="1">
      <c r="B28" s="33" t="inlineStr">
        <is>
          <t>Cách nói khi bảo vệ</t>
        </is>
      </c>
      <c r="C28" s="34" t="inlineStr">
        <is>
          <t>Không nói 'chúng em chưa kịp làm'. Nói: phạm vi đồ án là 17 use case và đã hoàn thành 17/17; phần tích hợp hệ thống nghiệp vụ thời gian thực qua giao thức chuẩn là HƯỚNG PHÁT TRIỂN, nền móng đã dựng sẵn (bảng integration.mcp_servers và ai.ai_tool_calls đã có trong migration, ADR-0005 đã chốt hướng, hợp đồng đã khai trong OpenAPI), lộ trình 3 ngày.</t>
        </is>
      </c>
    </row>
    <row r="29" ht="39" customHeight="1">
      <c r="B29" s="33" t="inlineStr">
        <is>
          <t>Một thứ KHÔNG được cắt theo</t>
        </is>
      </c>
      <c r="C29" s="34" t="inlineStr">
        <is>
          <t>Nhánh ý định 'gọi công cụ' VẪN GIỮ NGUYÊN trong taxonomy 7 nhánh của UC022 và vẫn được phân loại đúng, chỉ là định tuyến sang chuyển giao với lý do 'cần duyệt thao tác ghi'. Cắt nhánh khỏi taxonomy sẽ làm lệch toàn bộ số liệu telemetry và phải huấn luyện lại router nếu sau này mở rộng.</t>
        </is>
      </c>
    </row>
    <row r="31" ht="24" customHeight="1">
      <c r="B31" s="32" t="inlineStr">
        <is>
          <t>5. AI LÀM GÌ</t>
        </is>
      </c>
    </row>
    <row r="32" ht="30" customHeight="1">
      <c r="B32" s="33" t="inlineStr">
        <is>
          <t>Dev A</t>
        </is>
      </c>
      <c r="C32" s="34" t="inlineStr">
        <is>
          <t>KHO TRI THỨC &amp; TRẢ LỜI — 8 UC: UC018, UC019, UC020, UC023, UC025, UC026, UC027, UC041. Kiêm hạ tầng CSDL, RLS, model nhúng, hybrid search, 4 node guard/retrieve/generate/postguard, eval harness, benchmark, triển khai, load test.</t>
        </is>
      </c>
    </row>
    <row r="33" ht="39" customHeight="1">
      <c r="B33" s="33" t="inlineStr">
        <is>
          <t>Dev B</t>
        </is>
      </c>
      <c r="C33" s="34" t="inlineStr">
        <is>
          <t>ĐỊNH TUYẾN, NGHIỆP VỤ &amp; VẬN HÀNH — 9 UC: UC006, UC014, UC022, UC029, UC030, UC031, UC038, UC039, UC040. Kiêm hợp đồng API và Kafka, tầng suy luận, CI, router 2 nhánh, lead scoring, trích xuất, telemetry, 4 node route/fastpath/handoff/telemetry, tích hợp Track A.</t>
        </is>
      </c>
    </row>
    <row r="34" ht="30" customHeight="1">
      <c r="B34" s="33" t="inlineStr">
        <is>
          <t>Đổi thành tên thật</t>
        </is>
      </c>
      <c r="C34" s="34" t="inlineStr">
        <is>
          <t>Ctrl+H trên sheet 'Kế hoạch 21 ngày': thay 'Dev A' và 'Dev B'. Nhớ thay ở CẢ các sheet 'Phân vai', 'Bảng theo dõi', 'Chỉ số nghiệm thu' và sheet ẩn 'Danh mục' thì COUNTIFS mới khớp.</t>
        </is>
      </c>
    </row>
    <row r="36" ht="24" customHeight="1">
      <c r="B36" s="32" t="inlineStr">
        <is>
          <t>6. BỐN ĐIỂM HAI ĐƯỜNG GẶP NHAU — DỄ VỠ NHẤT</t>
        </is>
      </c>
    </row>
    <row r="37" ht="30" customHeight="1">
      <c r="B37" s="33" t="inlineStr">
        <is>
          <t>Ngày 1 — Bốn quyết định hợp đồng</t>
        </is>
      </c>
      <c r="C37" s="34" t="inlineStr">
        <is>
          <t>Cả hai người đều phụ thuộc vào chúng. Ngồi cùng nhau chốt trong buổi sáng, viết thành ADR-0017 ngay trong ngày.</t>
        </is>
      </c>
    </row>
    <row r="38" ht="30" customHeight="1">
      <c r="B38" s="33" t="inlineStr">
        <is>
          <t>Ngày 2 — Buổi chung gõ tập test</t>
        </is>
      </c>
      <c r="C38" s="34" t="inlineStr">
        <is>
          <t>3 giờ, cả hai cùng gõ. Đây là tài sản giá trị nhất của phần thực nghiệm. Gán nhãn ĐỘC LẬP rồi mới đối chiếu.</t>
        </is>
      </c>
    </row>
    <row r="39" ht="30" customHeight="1">
      <c r="B39" s="33" t="inlineStr">
        <is>
          <t>Ngày 8 — AgentState + LangGraph</t>
        </is>
      </c>
      <c r="C39" s="34" t="inlineStr">
        <is>
          <t>Hai người NGỒI CÙNG NHAU chốt cấu trúc AgentState TRƯỚC KHI ai code node nào. Quy tắc: mỗi người chỉ ĐĂNG KÝ node của mình vào registry, KHÔNG sửa node của người kia. Vi phạm quy tắc này là nguồn conflict số một.</t>
        </is>
      </c>
    </row>
    <row r="40" ht="30" customHeight="1">
      <c r="B40" s="33" t="inlineStr">
        <is>
          <t>Ngày 9 — Node generate</t>
        </is>
      </c>
      <c r="C40" s="34" t="inlineStr">
        <is>
          <t>Dev B cần node generate của Dev A cho UC029 (Ngày 11). Nếu Ngày 9 trượt, Dev B đảo lịch ngay: làm UC031/UC014 trước, UC029 sau.</t>
        </is>
      </c>
    </row>
    <row r="42" ht="24" customHeight="1">
      <c r="B42" s="32" t="inlineStr">
        <is>
          <t>7. HAI HẠNG MỤC CHẤT LƯỢNG ĐƯỢC GIỮ — GPU CHẠY QUA ĐÊM</t>
        </is>
      </c>
    </row>
    <row r="43" ht="30" customHeight="1">
      <c r="B43" s="33" t="inlineStr">
        <is>
          <t>Thủ thuật chung</t>
        </is>
      </c>
      <c r="C43" s="34" t="inlineStr">
        <is>
          <t>Cả hai đều dựa trên GPU Kaggle chạy QUA ĐÊM: việc nặng tốn giờ máy chứ không tốn ngày làm việc. Phóng cuối ngày hôm trước, thu kết quả sáng hôm sau.</t>
        </is>
      </c>
    </row>
    <row r="44" ht="30" customHeight="1">
      <c r="B44" s="33" t="inlineStr">
        <is>
          <t>Nhánh B router — Ngày 4–5</t>
        </is>
      </c>
      <c r="C44" s="34" t="inlineStr">
        <is>
          <t>Cuối Ngày 4 phóng notebook fine-tune XLM-R base lên GPU (3–4 giờ). Ngày 5 thu kết quả, so hai nhánh bằng paired bootstrap KTC 95%, chốt nhánh ship, chọn ngưỡng abstention, export ONNX vào ai-classify.</t>
        </is>
      </c>
    </row>
    <row r="45" ht="30" customHeight="1">
      <c r="B45" s="33" t="inlineStr">
        <is>
          <t>Fine-tune embedding — Ngày 6–7</t>
        </is>
      </c>
      <c r="C45" s="34" t="inlineStr">
        <is>
          <t>Ngày 6 khai thác cặp huấn luyện rồi phóng GPU (3–5 giờ). Ngày 7 thu kết quả, export ONNX INT8, chạy cổng parity, reindex toàn bộ chunk, đo lại có KTC. Từ Ngày 8 mọi truy hồi chạy trên bản fine-tune.</t>
        </is>
      </c>
    </row>
    <row r="46" ht="30" customHeight="1">
      <c r="B46" s="33" t="inlineStr">
        <is>
          <t>Thứ tự BẮT BUỘC của fine-tune</t>
        </is>
      </c>
      <c r="C46" s="34" t="inlineStr">
        <is>
          <t>Hybrid Search phải xong TRƯỚC khi khai thác dữ liệu, vì hard negative là những đoạn lọt top-5 hybrid nhưng SAI — không có hybrid thì không có hard negative, mà không có hard negative thì fine-tune gần như không cải thiện gì.</t>
        </is>
      </c>
    </row>
    <row r="47" ht="30" customHeight="1">
      <c r="B47" s="33" t="inlineStr">
        <is>
          <t>Bẫy tách tập</t>
        </is>
      </c>
      <c r="C47" s="34" t="inlineStr">
        <is>
          <t>Tách tập giữ lại theo TÀI LIỆU, không theo đoạn. Tách theo đoạn thì các đoạn cùng một tài liệu lọt cả hai bên, model học thuộc văn phong tài liệu đó và chỉ số bị thổi phồng.</t>
        </is>
      </c>
    </row>
    <row r="48" ht="30" customHeight="1">
      <c r="B48" s="33" t="inlineStr">
        <is>
          <t>Bẫy lượng tử hoá</t>
        </is>
      </c>
      <c r="C48" s="34" t="inlineStr">
        <is>
          <t>Bản fine-tune có phân bố trọng số đã dịch nên INT8 có thể lệch nhiều hơn bản gốc. CỔNG PARITY ≥ 0,995 vẫn áp dụng nguyên vẹn; không đạt thì dừng, giữ bản pretrained và ghi ADR.</t>
        </is>
      </c>
    </row>
    <row r="49" ht="39" customHeight="1">
      <c r="B49" s="33" t="inlineStr">
        <is>
          <t>Đường lùi</t>
        </is>
      </c>
      <c r="C49" s="34" t="inlineStr">
        <is>
          <t>Giữ cả hai artifact, đặt biến EMB_MODEL_VERSION. Fine-tune thua hoặc parity trượt thì reindex ngược về pretrained, mất khoảng 30 phút máy. Cột embedding_model trên từng dòng knowledge_chunks (V203) có sẵn chính là để làm việc này.</t>
        </is>
      </c>
    </row>
    <row r="50" ht="39" customHeight="1">
      <c r="B50" s="33" t="inlineStr">
        <is>
          <t>Cách đọc kết quả nhánh B</t>
        </is>
      </c>
      <c r="C50" s="34" t="inlineStr">
        <is>
          <t>XLM-R base 278M chạy CPU rất dễ vượt ngân sách 60 ms. Hoàn toàn có thể B thắng về macro-F1 mà vẫn phải ship C vì độ trễ. Đó KHÔNG phải thất bại mà là một kết quả đáng viết: bảng 'chất lượng vs độ trễ' với số đo thật thuyết phục hơn nhiều so với việc chỉ báo cáo nhánh thắng.</t>
        </is>
      </c>
    </row>
    <row r="52" ht="24" customHeight="1">
      <c r="B52" s="32" t="inlineStr">
        <is>
          <t>8. NHỊP LÀM VIỆC BẮT BUỘC</t>
        </is>
      </c>
    </row>
    <row r="53" ht="30" customHeight="1">
      <c r="B53" s="33" t="inlineStr">
        <is>
          <t>Đồng bộ 15 phút đầu ngày</t>
        </is>
      </c>
      <c r="C53" s="34" t="inlineStr">
        <is>
          <t>Mỗi người đúng 3 câu: hôm qua xong gì, hôm nay làm gì, đang vướng gì. Vướng quá NỬA NGÀY là phải nói ra và đổi hướng — ở lịch 3 tuần, im lặng một ngày là mất 5% toàn dự án.</t>
        </is>
      </c>
    </row>
    <row r="54" ht="30" customHeight="1">
      <c r="B54" s="33" t="inlineStr">
        <is>
          <t>Merge mỗi ngày</t>
        </is>
      </c>
      <c r="C54" s="34" t="inlineStr">
        <is>
          <t>Mỗi người một nhánh feature, merge vào nhánh chính ít nhất 1 lần/ngày. CODEOWNERS theo bảng ranh giới ở sheet 'Phân vai 17 Use Case'.</t>
        </is>
      </c>
    </row>
    <row r="55" ht="30" customHeight="1">
      <c r="B55" s="33" t="inlineStr">
        <is>
          <t>Migration</t>
        </is>
      </c>
      <c r="C55" s="34" t="inlineStr">
        <is>
          <t>Chỉ ghi dải V2xx, bắt đầu từ V210. Mỗi migration một file riêng, tên có số thứ tự. Hai người tạo cùng số là lỗi merge khó chịu nhất và xảy ra rất thường.</t>
        </is>
      </c>
    </row>
    <row r="56" ht="30" customHeight="1">
      <c r="B56" s="33" t="inlineStr">
        <is>
          <t>Ghi số liệu ngay khi đo</t>
        </is>
      </c>
      <c r="C56" s="34" t="inlineStr">
        <is>
          <t>Đo xong là điền vào sheet 'Chỉ số nghiệm thu' luôn, không để dồn tới Ngày 20. Số đo không ghi lại là số đo đã mất.</t>
        </is>
      </c>
    </row>
    <row r="57" ht="30" customHeight="1">
      <c r="B57" s="33" t="inlineStr">
        <is>
          <t>Rà soát chéo bản NHẸ</t>
        </is>
      </c>
      <c r="C57" s="34" t="inlineStr">
        <is>
          <t>KHÔNG AI MERGE PHẦN CỦA MÌNH MÀ KHÔNG CÓ NGƯỜI KIA ĐỌC QUA pull request. Mỗi lần đọc 10–15 phút, giữ được phần lớn giá trị với chi phí gần bằng 0.</t>
        </is>
      </c>
    </row>
    <row r="58" ht="52" customHeight="1">
      <c r="B58" s="33" t="inlineStr">
        <is>
          <t>Ba cái bẫy đã biết của repo này</t>
        </is>
      </c>
      <c r="C58" s="34" t="inlineStr">
        <is>
          <t>(a) RLS + connection pool: SET LOCAL app.tenant_id phải đặt NGAY SAU pool.acquire() và cùng transaction. (b) Eureka: FastAPI không tự đăng ký, và phải HUỶ đăng ký lúc tắt — quên thì Eureka định tuyến tới tiến trình chết khoảng 90 giây. (c) Kafka hai listener: kafka:9092 từ TRONG mạng Docker, localhost:29092 từ máy chủ — dùng nhầm thì client treo rồi timeout mà không có thông báo nào chỉ ra nguyên nhân.</t>
        </is>
      </c>
    </row>
    <row r="60" ht="24" customHeight="1">
      <c r="B60" s="32" t="inlineStr">
        <is>
          <t>9. THỨ TỰ CẮT KHI TRƯỢT LỊCH — cắt theo thứ tự này, không cắt bừa</t>
        </is>
      </c>
    </row>
    <row r="61" ht="30" customHeight="1">
      <c r="B61" s="33" t="inlineStr">
        <is>
          <t>Cắt thứ 1</t>
        </is>
      </c>
      <c r="C61" s="34" t="inlineStr">
        <is>
          <t>Rerank cross-encoder — đã có feature flag, mặc định đang tắt. §5.3 quy tắc 2 nói rõ rerank là thứ ĐẦU TIÊN bị cắt khi ngân sách căng.</t>
        </is>
      </c>
    </row>
    <row r="62" ht="30" customHeight="1">
      <c r="B62" s="33" t="inlineStr">
        <is>
          <t>Cắt thứ 2</t>
        </is>
      </c>
      <c r="C62" s="34" t="inlineStr">
        <is>
          <t>Semantic cache (Ngày 16) — tính năng tối ưu, không phải use case.</t>
        </is>
      </c>
    </row>
    <row r="63" ht="30" customHeight="1">
      <c r="B63" s="33" t="inlineStr">
        <is>
          <t>Cắt thứ 3</t>
        </is>
      </c>
      <c r="C63" s="34" t="inlineStr">
        <is>
          <t>Chiều sâu của UC038: bỏ bước LLM đặt tên cụm, chỉ báo cáo số cụm và silhouette.</t>
        </is>
      </c>
    </row>
    <row r="64" ht="30" customHeight="1">
      <c r="B64" s="33" t="inlineStr">
        <is>
          <t>Cắt thứ 4</t>
        </is>
      </c>
      <c r="C64" s="34" t="inlineStr">
        <is>
          <t>Load test: giữ baseline 10u và tải mục tiêu 50u, bỏ soak 1 giờ.</t>
        </is>
      </c>
    </row>
    <row r="65" ht="30" customHeight="1">
      <c r="B65" s="33" t="inlineStr">
        <is>
          <t>KHÔNG cắt</t>
        </is>
      </c>
      <c r="C65" s="34" t="inlineStr">
        <is>
          <t>Đừng bao giờ cắt nguyên một use case — phạm vi đã chốt là 17 UC và bảng nghiệm thu đếm đủ 17. Giảm ĐỘ SÂU thì được, bỏ hẳn thì mất điểm trực tiếp.</t>
        </is>
      </c>
    </row>
    <row r="66" ht="30" customHeight="1">
      <c r="B66" s="33" t="inlineStr">
        <is>
          <t>KHÔNG cắt</t>
        </is>
      </c>
      <c r="C66" s="34" t="inlineStr">
        <is>
          <t>Giảm dung lượng image xuống dưới 400 MB (Ngày 16) — cổng CI đã bật exit 1 từ Ngày 1, không giảm thì mọi build đều đỏ.</t>
        </is>
      </c>
    </row>
    <row r="67" ht="30" customHeight="1">
      <c r="B67" s="33" t="inlineStr">
        <is>
          <t>Fine-tune KHÔNG nằm trong danh sách cắt</t>
        </is>
      </c>
      <c r="C67" s="34" t="inlineStr">
        <is>
          <t>Nếu Ngày 6 trượt thì vẫn phóng GPU chạy qua đêm rồi dời phần export và reindex sang Ngày 8 buổi sáng — chỉ dời, không bỏ. Việc duy nhất khiến phải bỏ là cổng parity trượt, và khi đó ADR phải ghi rõ số đo.</t>
        </is>
      </c>
    </row>
    <row r="69" ht="24" customHeight="1">
      <c r="B69" s="32" t="inlineStr">
        <is>
          <t>10. GHI CHÚ KỸ THUẬT VỀ CHÍNH FILE NÀY</t>
        </is>
      </c>
    </row>
    <row r="70" ht="30" customHeight="1">
      <c r="B70" s="33" t="inlineStr">
        <is>
          <t>Công thức</t>
        </is>
      </c>
      <c r="C70" s="34" t="inlineStr">
        <is>
          <t>Sheet 'Bảng theo dõi' dùng COUNTIFS đọc từ sheet 'Kế hoạch 21 ngày'. File được sinh bằng script nên Excel/Numbers tính công thức LẦN ĐẦU khi bạn mở; thấy ô trống thì bấm lưu một lần là có số.</t>
        </is>
      </c>
    </row>
    <row r="71" ht="30" customHeight="1">
      <c r="B71" s="33" t="inlineStr">
        <is>
          <t>Dropdown cột Tiến độ</t>
        </is>
      </c>
      <c r="C71" s="34" t="inlineStr">
        <is>
          <t>Lấy từ sheet ẩn 'Danh mục'. Đổi tên trạng thái ở đó thì phải đổi cả trong công thức COUNTIFS.</t>
        </is>
      </c>
    </row>
    <row r="72" ht="39" customHeight="1">
      <c r="B72" s="33" t="inlineStr">
        <is>
          <t>Quan hệ với các tài liệu khác</t>
        </is>
      </c>
      <c r="C72" s="34" t="inlineStr">
        <is>
          <t>Sheet này KHÔNG thay thế: docs/Dac-ta-UseCase-Module-AI.docx (đặc tả 20 UC), MASTER_PLAN_AI_CRM_v8.md.docx (kiến trúc, ngân sách độ trễ), docs/adr/ (vì sao chọn như vậy), docs/erd-mermaid.md (cột, kiểu, khoá). Khi lệch nhau thì thứ tự ưu tiên là: repo &gt; ADR &gt; Master Plan &gt; file này.</t>
        </is>
      </c>
    </row>
    <row r="73" ht="39" customHeight="1">
      <c r="B73" s="33" t="inlineStr">
        <is>
          <t>Bản cũ</t>
        </is>
      </c>
      <c r="C73" s="34" t="inlineStr">
        <is>
          <t>docs/Ke-hoach-21-ngay-17UC-hoan-MCP-Module-AI-CRM.xlsx là bản soạn trước ADR-0015/0016 và có 16 chỗ chỉ dẫn sai so với repo (Alembic thay vì Flyway, ai.chunks thay vì knowledge.knowledge_chunks, ai.lead_features không tồn tại, role ai_service thay vì ai_app...). Giữ để đối chiếu rồi xoá, ĐỪNG làm theo.</t>
        </is>
      </c>
    </row>
    <row r="75" ht="24" customHeight="1">
      <c r="A75" s="2" t="inlineStr">
        <is>
          <t>CHÚ THÍCH MÀU</t>
        </is>
      </c>
    </row>
    <row r="76">
      <c r="B76" s="13" t="inlineStr">
        <is>
          <t>Tuần 1 — nền móng, kho tri thức, router</t>
        </is>
      </c>
    </row>
    <row r="77">
      <c r="B77" s="6" t="inlineStr">
        <is>
          <t>Tuần 2 — luồng chính và nghiệp vụ AI</t>
        </is>
      </c>
    </row>
    <row r="78">
      <c r="B78" s="8" t="inlineStr">
        <is>
          <t>Tuần 3 — đo đạc, triển khai, nghiệm thu</t>
        </is>
      </c>
    </row>
    <row r="79">
      <c r="B79" s="8" t="inlineStr">
        <is>
          <t>Ô phải điền: số đo thật và kết luận đạt / chưa đạt</t>
        </is>
      </c>
    </row>
    <row r="80">
      <c r="B80" s="23" t="inlineStr">
        <is>
          <t>Mở rộng sau đồ án — ngoài phạm vi nghiệm thu</t>
        </is>
      </c>
    </row>
    <row r="81">
      <c r="B81" s="6" t="inlineStr">
        <is>
          <t>Đã có thật trong repo</t>
        </is>
      </c>
    </row>
    <row r="82">
      <c r="B82" s="10" t="inlineStr">
        <is>
          <t>Chưa tồn tại / nợ kỹ thuật</t>
        </is>
      </c>
    </row>
  </sheetData>
  <mergeCells count="13">
    <mergeCell ref="B69:C69"/>
    <mergeCell ref="B52:C52"/>
    <mergeCell ref="A1:C1"/>
    <mergeCell ref="B25:C25"/>
    <mergeCell ref="A75:C75"/>
    <mergeCell ref="B19:C19"/>
    <mergeCell ref="B10:C10"/>
    <mergeCell ref="B42:C42"/>
    <mergeCell ref="B36:C36"/>
    <mergeCell ref="B60:C60"/>
    <mergeCell ref="B31:C31"/>
    <mergeCell ref="B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2026-09-20T08:27:39Z</dcterms:created>
  <dcterms:modified xsi:type="dcterms:W3CDTF">2026-09-20T08:27:39Z</dcterms:modified>
</cp:coreProperties>
</file>